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swan36_uq_edu_au/Documents/ProtocalChapter/RecentEdit/Chapter3/"/>
    </mc:Choice>
  </mc:AlternateContent>
  <xr:revisionPtr revIDLastSave="0" documentId="8_{F2117B87-1D0F-40DB-B901-08FD053A1BA2}" xr6:coauthVersionLast="47" xr6:coauthVersionMax="47" xr10:uidLastSave="{00000000-0000-0000-0000-000000000000}"/>
  <bookViews>
    <workbookView xWindow="-120" yWindow="-120" windowWidth="29040" windowHeight="15720" xr2:uid="{35C1FF4D-4B89-4401-A116-4C22537CAA2B}"/>
  </bookViews>
  <sheets>
    <sheet name="N2O Emission- Bottom Aeration" sheetId="1" r:id="rId1"/>
    <sheet name="N2O Emission - Surface Aeration" sheetId="5" r:id="rId2"/>
    <sheet name="Aeration Field Size" sheetId="6" r:id="rId3"/>
  </sheets>
  <externalReferences>
    <externalReference r:id="rId4"/>
    <externalReference r:id="rId5"/>
  </externalReferences>
  <definedNames>
    <definedName name="Aerfield" localSheetId="2">'[1]N2O Emission- Bottom Aeration'!$F$19</definedName>
    <definedName name="Aerfield" localSheetId="1">'[2]N2O Emission- Bottom Aeration'!$F$19</definedName>
    <definedName name="Aerfield">'N2O Emission- Bottom Aeration'!$F$21</definedName>
    <definedName name="Airfield">'N2O Emission- Bottom Aeration'!$F$21</definedName>
    <definedName name="alpha" localSheetId="1">'N2O Emission - Surface Aeration'!$F$22</definedName>
    <definedName name="alpha">'[2]N2O Emission - Surface Aera (2)'!$F$22</definedName>
    <definedName name="AOTR" localSheetId="1">'N2O Emission - Surface Aeration'!$F$33</definedName>
    <definedName name="AOTR">'[2]N2O Emission - Surface Aera (2)'!$F$33</definedName>
    <definedName name="Beta" localSheetId="1">'N2O Emission - Surface Aeration'!$F$23</definedName>
    <definedName name="Beta">'[2]N2O Emission - Surface Aera (2)'!$F$23</definedName>
    <definedName name="C_N2O_proc_nonaerated" localSheetId="1">'N2O Emission - Surface Aeration'!#REF!</definedName>
    <definedName name="C_N2O_proc_nonaerated">'[2]N2O Emission - Surface Aera (2)'!#REF!</definedName>
    <definedName name="C_N2P_process" localSheetId="1">'N2O Emission - Surface Aeration'!$F$13</definedName>
    <definedName name="C_N2P_process">'[2]N2O Emission - Surface Aera (2)'!$F$13</definedName>
    <definedName name="C_O2_Process" localSheetId="1">'N2O Emission - Surface Aeration'!$F$27</definedName>
    <definedName name="C_O2_Process">'[2]N2O Emission - Surface Aera (2)'!$F$27</definedName>
    <definedName name="C_O2_sat_Tproc" localSheetId="1">'N2O Emission - Surface Aeration'!$F$29</definedName>
    <definedName name="C_O2_sat_Tproc">'[2]N2O Emission - Surface Aera (2)'!$F$29</definedName>
    <definedName name="C_O2_sat20" localSheetId="1">'N2O Emission - Surface Aeration'!$F$28</definedName>
    <definedName name="C_O2_sat20">'[2]N2O Emission - Surface Aera (2)'!$F$28</definedName>
    <definedName name="CN2O" localSheetId="2">'[1]N2O Emission- Bottom Aeration'!$F$9</definedName>
    <definedName name="CN2O" localSheetId="1">'[2]N2O Emission- Bottom Aeration'!$F$9</definedName>
    <definedName name="CN2O">'N2O Emission- Bottom Aeration'!$F$10</definedName>
    <definedName name="constR" localSheetId="2">'[1]N2O Emission- Bottom Aeration'!$F$10</definedName>
    <definedName name="constR" localSheetId="1">'[2]N2O Emission- Bottom Aeration'!$F$10</definedName>
    <definedName name="constR">'N2O Emission- Bottom Aeration'!$F$11</definedName>
    <definedName name="convertatm">'N2O Emission- Bottom Aeration'!#REF!</definedName>
    <definedName name="D_N2O" localSheetId="1">'N2O Emission - Surface Aeration'!$F$25</definedName>
    <definedName name="D_N2O">'[2]N2O Emission - Surface Aera (2)'!$F$25</definedName>
    <definedName name="D_O2" localSheetId="1">'N2O Emission - Surface Aeration'!$F$26</definedName>
    <definedName name="D_O2">'[2]N2O Emission - Surface Aera (2)'!$F$26</definedName>
    <definedName name="delta" localSheetId="2">'[1]N2O Emission- Bottom Aeration'!$F$8</definedName>
    <definedName name="delta" localSheetId="1">'[2]N2O Emission- Bottom Aeration'!$F$8</definedName>
    <definedName name="delta">'N2O Emission- Bottom Aeration'!$F$9</definedName>
    <definedName name="DR" localSheetId="2">'[1]N2O Emission- Bottom Aeration'!$F$20</definedName>
    <definedName name="DR" localSheetId="1">'[2]N2O Emission- Bottom Aeration'!$F$20</definedName>
    <definedName name="DR">'N2O Emission- Bottom Aeration'!$F$22</definedName>
    <definedName name="Drnon">'N2O Emission- Bottom Aeration'!$F$27</definedName>
    <definedName name="Emission_aerated">'[2]N2O Emission- Bottom Aeration'!$F$37</definedName>
    <definedName name="Emission_no" localSheetId="2">#REF!</definedName>
    <definedName name="Emission_no">'N2O Emission - Surface Aeration'!$F$41</definedName>
    <definedName name="Emission_nonaerated">'[2]N2O Emission- Bottom Aeration'!$F$42</definedName>
    <definedName name="Emission_surface" localSheetId="2">#REF!</definedName>
    <definedName name="Emission_surface">'N2O Emission - Surface Aeration'!$F$37</definedName>
    <definedName name="F" localSheetId="1">'N2O Emission - Surface Aeration'!$F$24</definedName>
    <definedName name="F">'[2]N2O Emission - Surface Aera (2)'!$F$24</definedName>
    <definedName name="HN2O" localSheetId="2">'[1]N2O Emission- Bottom Aeration'!$F$30</definedName>
    <definedName name="HN2O" localSheetId="1">'[2]N2O Emission- Bottom Aeration'!$F$30</definedName>
    <definedName name="HN2O">'N2O Emission- Bottom Aeration'!$F$32</definedName>
    <definedName name="KH" localSheetId="2">'[1]N2O Emission- Bottom Aeration'!$F$29</definedName>
    <definedName name="KH" localSheetId="1">'[2]N2O Emission- Bottom Aeration'!$F$29</definedName>
    <definedName name="KH">'N2O Emission- Bottom Aeration'!$F$31</definedName>
    <definedName name="KHprocess" localSheetId="2">'[1]N2O Emission- Bottom Aeration'!$F$7</definedName>
    <definedName name="KHprocess" localSheetId="1">'[2]N2O Emission- Bottom Aeration'!$F$7</definedName>
    <definedName name="KHprocess">'N2O Emission- Bottom Aeration'!$F$8</definedName>
    <definedName name="KLa_N2O_Tproc" localSheetId="1">'N2O Emission - Surface Aeration'!$F$35</definedName>
    <definedName name="KLa_N2O_Tproc">'[2]N2O Emission - Surface Aera (2)'!$F$35</definedName>
    <definedName name="kLa_nonaerated" localSheetId="1">'N2O Emission - Surface Aeration'!$F$16</definedName>
    <definedName name="KLa_nonaerated">'[2]N2O Emission - Surface Aera (2)'!#REF!</definedName>
    <definedName name="KLa_O2_proc" localSheetId="1">'N2O Emission - Surface Aeration'!$F$34</definedName>
    <definedName name="KLa_O2_proc">'[2]N2O Emission - Surface Aera (2)'!$F$34</definedName>
    <definedName name="KLAN2O20" localSheetId="2">'[1]N2O Emission- Bottom Aeration'!$F$32</definedName>
    <definedName name="KLAN2O20" localSheetId="1">'[2]N2O Emission- Bottom Aeration'!$F$32</definedName>
    <definedName name="KLAN2O20">'N2O Emission- Bottom Aeration'!$F$34</definedName>
    <definedName name="KLAnon" localSheetId="2">'[1]N2O Emission- Bottom Aeration'!$F$11</definedName>
    <definedName name="KLAnon" localSheetId="1">'[2]N2O Emission- Bottom Aeration'!$F$11</definedName>
    <definedName name="KLAnon">'N2O Emission- Bottom Aeration'!$F$12</definedName>
    <definedName name="KLaprocess" localSheetId="2">'[1]N2O Emission- Bottom Aeration'!$F$33</definedName>
    <definedName name="KLaprocess" localSheetId="1">'[2]N2O Emission- Bottom Aeration'!$F$33</definedName>
    <definedName name="KLaprocess">'N2O Emission- Bottom Aeration'!$F$35</definedName>
    <definedName name="N2O" localSheetId="2">'[1]N2O Emission- Bottom Aeration'!$F$15</definedName>
    <definedName name="N2O" localSheetId="1">'[2]N2O Emission- Bottom Aeration'!$F$15</definedName>
    <definedName name="N2O">'N2O Emission- Bottom Aeration'!$F$17</definedName>
    <definedName name="N2O_nonaerated" localSheetId="2">#REF!</definedName>
    <definedName name="N2O_nonaerated">'N2O Emission - Surface Aeration'!$F$15</definedName>
    <definedName name="nonair">'N2O Emission- Bottom Aeration'!$F$26</definedName>
    <definedName name="NonN2O" localSheetId="2">'[1]N2O Emission- Bottom Aeration'!$F$23</definedName>
    <definedName name="NonN2O" localSheetId="1">'[2]N2O Emission- Bottom Aeration'!$F$23</definedName>
    <definedName name="NonN2O">'N2O Emission- Bottom Aeration'!$F$25</definedName>
    <definedName name="NTR_aerated" localSheetId="1">'N2O Emission - Surface Aeration'!$F$36</definedName>
    <definedName name="NTR_aerated">'[2]N2O Emission - Surface Aera (2)'!$F$36</definedName>
    <definedName name="P" localSheetId="1">'N2O Emission - Surface Aeration'!$F$10</definedName>
    <definedName name="P">'[2]N2O Emission - Surface Aera (2)'!$F$10</definedName>
    <definedName name="QA" localSheetId="2">'[1]N2O Emission- Bottom Aeration'!$F$16</definedName>
    <definedName name="QA" localSheetId="1">'[2]N2O Emission- Bottom Aeration'!$F$16</definedName>
    <definedName name="QA">'N2O Emission- Bottom Aeration'!$K$9</definedName>
    <definedName name="QAday" localSheetId="2">'[1]N2O Emission- Bottom Aeration'!$F$17</definedName>
    <definedName name="QAday" localSheetId="1">'[2]N2O Emission- Bottom Aeration'!$F$17</definedName>
    <definedName name="QAday">'N2O Emission- Bottom Aeration'!$F$18</definedName>
    <definedName name="QAs" localSheetId="2">'[1]N2O Emission- Bottom Aeration'!$F$18</definedName>
    <definedName name="QAs" localSheetId="1">'[2]N2O Emission- Bottom Aeration'!$F$18</definedName>
    <definedName name="QAs">'N2O Emission- Bottom Aeration'!$F$19</definedName>
    <definedName name="rNon" localSheetId="2">'[1]N2O Emission- Bottom Aeration'!$F$41</definedName>
    <definedName name="rNon" localSheetId="1">'[2]N2O Emission- Bottom Aeration'!$F$41</definedName>
    <definedName name="rNon">'N2O Emission- Bottom Aeration'!$F$43</definedName>
    <definedName name="rprocess" localSheetId="2">'[1]N2O Emission- Bottom Aeration'!$F$36</definedName>
    <definedName name="rprocess" localSheetId="1">'[2]N2O Emission- Bottom Aeration'!$F$36</definedName>
    <definedName name="rprocess">'N2O Emission- Bottom Aeration'!$F$38</definedName>
    <definedName name="SAE" localSheetId="1">'N2O Emission - Surface Aeration'!$F$11</definedName>
    <definedName name="SAE">'[2]N2O Emission - Surface Aera (2)'!$F$11</definedName>
    <definedName name="SOTR" localSheetId="1">'N2O Emission - Surface Aeration'!$F$32</definedName>
    <definedName name="SOTR">'[2]N2O Emission - Surface Aera (2)'!$F$32</definedName>
    <definedName name="T_process" localSheetId="1">'N2O Emission - Surface Aeration'!$F$9</definedName>
    <definedName name="T_process">'[2]N2O Emission - Surface Aera (2)'!$F$9</definedName>
    <definedName name="T_standard" localSheetId="1">'N2O Emission - Surface Aeration'!$F$21</definedName>
    <definedName name="T_standard">'[2]N2O Emission - Surface Aera (2)'!$F$21</definedName>
    <definedName name="Tnul" localSheetId="2">'[1]N2O Emission- Bottom Aeration'!$F$12</definedName>
    <definedName name="Tnul" localSheetId="1">'[2]N2O Emission- Bottom Aeration'!$F$12</definedName>
    <definedName name="Tnul">'N2O Emission- Bottom Aeration'!$F$13</definedName>
    <definedName name="Tproc">'N2O Emission- Bottom Aeration'!$F$13</definedName>
    <definedName name="Tproces" localSheetId="2">'[1]N2O Emission- Bottom Aeration'!$F$13</definedName>
    <definedName name="Tproces" localSheetId="1">'[2]N2O Emission- Bottom Aeration'!$F$13</definedName>
    <definedName name="Tproces">'N2O Emission- Bottom Aeration'!$F$14</definedName>
    <definedName name="Tstand">'N2O Emission- Bottom Aeration'!$F$13</definedName>
    <definedName name="V" localSheetId="1">'N2O Emission - Surface Aeration'!$F$12</definedName>
    <definedName name="V">'[2]N2O Emission - Surface Aera (2)'!$F$12</definedName>
    <definedName name="V_nonaerated" localSheetId="1">'N2O Emission - Surface Aeration'!$F$19</definedName>
    <definedName name="V_nonaerated">'[2]N2O Emission - Surface Aera (2)'!#REF!</definedName>
    <definedName name="VG" localSheetId="2">'[1]N2O Emission- Bottom Aeration'!$F$31</definedName>
    <definedName name="VG" localSheetId="1">'[2]N2O Emission- Bottom Aeration'!$F$31</definedName>
    <definedName name="VG">'N2O Emission- Bottom Aeration'!$F$33</definedName>
    <definedName name="VR" localSheetId="2">'[1]N2O Emission- Bottom Aeration'!$F$21</definedName>
    <definedName name="VR" localSheetId="1">'[2]N2O Emission- Bottom Aeration'!$F$21</definedName>
    <definedName name="VR">'N2O Emission- Bottom Aeration'!$F$23</definedName>
    <definedName name="Vrnon" localSheetId="2">'[1]N2O Emission- Bottom Aeration'!$F$26</definedName>
    <definedName name="Vrnon" localSheetId="1">'[2]N2O Emission- Bottom Aeration'!$F$26</definedName>
    <definedName name="Vrnon">'N2O Emission- Bottom Aeration'!$F$28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62" i="1"/>
  <c r="K39" i="1" l="1"/>
  <c r="K40" i="1" s="1"/>
  <c r="J9" i="1" l="1"/>
  <c r="J10" i="1"/>
  <c r="H10" i="1"/>
  <c r="F63" i="1"/>
  <c r="I10" i="1"/>
  <c r="I9" i="1"/>
  <c r="K26" i="1"/>
  <c r="F32" i="5"/>
  <c r="F29" i="5"/>
  <c r="F33" i="5" s="1"/>
  <c r="F28" i="5"/>
  <c r="F26" i="5"/>
  <c r="F25" i="5"/>
  <c r="F17" i="5"/>
  <c r="F19" i="5" s="1"/>
  <c r="F41" i="5" s="1"/>
  <c r="F34" i="5" l="1"/>
  <c r="K37" i="1"/>
  <c r="F28" i="1"/>
  <c r="F35" i="5" l="1"/>
  <c r="G34" i="5"/>
  <c r="K10" i="1"/>
  <c r="F18" i="1" s="1"/>
  <c r="F19" i="1" s="1"/>
  <c r="F20" i="1" s="1"/>
  <c r="F33" i="1" s="1"/>
  <c r="K38" i="1"/>
  <c r="F31" i="1"/>
  <c r="F32" i="1" s="1"/>
  <c r="F43" i="1" s="1"/>
  <c r="F36" i="5" l="1"/>
  <c r="F37" i="5" s="1"/>
  <c r="F43" i="5" s="1"/>
  <c r="G35" i="5"/>
  <c r="F34" i="1"/>
  <c r="F35" i="1" s="1"/>
  <c r="F44" i="1"/>
  <c r="F38" i="1" l="1"/>
  <c r="F39" i="1" s="1"/>
  <c r="F46" i="1" s="1"/>
</calcChain>
</file>

<file path=xl/sharedStrings.xml><?xml version="1.0" encoding="utf-8"?>
<sst xmlns="http://schemas.openxmlformats.org/spreadsheetml/2006/main" count="266" uniqueCount="170">
  <si>
    <t>mol/L.bar</t>
  </si>
  <si>
    <t>Constant name</t>
  </si>
  <si>
    <t>Unit</t>
  </si>
  <si>
    <t>Value</t>
  </si>
  <si>
    <t>-ΔsolNH/R</t>
  </si>
  <si>
    <t>K</t>
  </si>
  <si>
    <t>R</t>
  </si>
  <si>
    <t>°C</t>
  </si>
  <si>
    <t>dimensionless</t>
  </si>
  <si>
    <t>Aerated zones</t>
  </si>
  <si>
    <t>Non-aerated zones</t>
  </si>
  <si>
    <t>Aerated field size</t>
  </si>
  <si>
    <t>m</t>
  </si>
  <si>
    <t>Depth reactor from diffuser to water level</t>
  </si>
  <si>
    <t>Variables on T and air flow</t>
  </si>
  <si>
    <t>Process temperature measured</t>
  </si>
  <si>
    <r>
      <t>day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</si>
  <si>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/day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</si>
  <si>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/s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</si>
  <si>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</si>
  <si>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</si>
  <si>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H</t>
    </r>
  </si>
  <si>
    <r>
      <t>H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sz val="12"/>
        <color theme="1"/>
        <rFont val="Calibri"/>
        <family val="2"/>
        <scheme val="minor"/>
      </rPr>
      <t>,Tprocess</t>
    </r>
  </si>
  <si>
    <r>
      <t>K</t>
    </r>
    <r>
      <rPr>
        <vertAlign val="subscript"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a</t>
    </r>
    <r>
      <rPr>
        <vertAlign val="subscript"/>
        <sz val="12"/>
        <color theme="1"/>
        <rFont val="Calibri"/>
        <family val="2"/>
        <scheme val="minor"/>
      </rPr>
      <t>N2O 20°C</t>
    </r>
  </si>
  <si>
    <r>
      <t>K</t>
    </r>
    <r>
      <rPr>
        <vertAlign val="subscript"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a</t>
    </r>
    <r>
      <rPr>
        <vertAlign val="subscript"/>
        <sz val="12"/>
        <color theme="1"/>
        <rFont val="Calibri"/>
        <family val="2"/>
        <scheme val="minor"/>
      </rPr>
      <t>N2O Tprocess</t>
    </r>
  </si>
  <si>
    <r>
      <t>r</t>
    </r>
    <r>
      <rPr>
        <b/>
        <vertAlign val="subscript"/>
        <sz val="12"/>
        <color theme="1"/>
        <rFont val="Calibri"/>
        <family val="2"/>
        <scheme val="minor"/>
      </rPr>
      <t>N2O,Tprocess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</si>
  <si>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H</t>
    </r>
    <r>
      <rPr>
        <b/>
        <vertAlign val="superscript"/>
        <sz val="12"/>
        <color theme="1"/>
        <rFont val="Calibri"/>
        <family val="2"/>
      </rPr>
      <t>Ꝋ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</si>
  <si>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N2O,air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</si>
  <si>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perscript"/>
        <sz val="12"/>
        <color theme="1"/>
        <rFont val="Calibri"/>
        <family val="2"/>
        <scheme val="minor"/>
      </rPr>
      <t>Non-aerated process</t>
    </r>
  </si>
  <si>
    <r>
      <t>T</t>
    </r>
    <r>
      <rPr>
        <b/>
        <vertAlign val="superscript"/>
        <sz val="12"/>
        <color theme="1"/>
        <rFont val="Calibri"/>
        <family val="2"/>
      </rPr>
      <t>Ꝋ</t>
    </r>
  </si>
  <si>
    <r>
      <t>S</t>
    </r>
    <r>
      <rPr>
        <b/>
        <vertAlign val="subscript"/>
        <sz val="12"/>
        <color theme="1"/>
        <rFont val="Calibri"/>
        <family val="2"/>
        <scheme val="minor"/>
      </rPr>
      <t xml:space="preserve">N2O </t>
    </r>
    <r>
      <rPr>
        <b/>
        <sz val="12"/>
        <color theme="1"/>
        <rFont val="Calibri"/>
        <family val="2"/>
        <scheme val="minor"/>
      </rPr>
      <t>concentration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</si>
  <si>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R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</si>
  <si>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R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</si>
  <si>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/s</t>
    </r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</si>
  <si>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/day</t>
    </r>
  </si>
  <si>
    <t>Air diffuser cylindrical total area</t>
  </si>
  <si>
    <t>Note</t>
  </si>
  <si>
    <t>Volume of aerated part of the reactor</t>
  </si>
  <si>
    <t>Emission</t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</si>
  <si>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O/day</t>
    </r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</si>
  <si>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O/day</t>
    </r>
  </si>
  <si>
    <t>Total tank emission</t>
  </si>
  <si>
    <t>Depth reactor</t>
  </si>
  <si>
    <t>Volume of non-aerated part of the reactor</t>
  </si>
  <si>
    <t>Non-aerated field size</t>
  </si>
  <si>
    <r>
      <t>D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</si>
  <si>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</si>
  <si>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t>Total area of non-aeration</t>
  </si>
  <si>
    <r>
      <t>mg 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O/L</t>
    </r>
  </si>
  <si>
    <t>Method 1</t>
  </si>
  <si>
    <t>P</t>
  </si>
  <si>
    <t>kWh</t>
  </si>
  <si>
    <t>SAE</t>
  </si>
  <si>
    <t>Standard aeration efficiency</t>
  </si>
  <si>
    <t>SOTR</t>
  </si>
  <si>
    <t>Standard oxygen transfer rate</t>
  </si>
  <si>
    <t>α</t>
  </si>
  <si>
    <t>β</t>
  </si>
  <si>
    <t>Correction from clean water to process conditions</t>
  </si>
  <si>
    <t>Volume of process tank</t>
  </si>
  <si>
    <t>F</t>
  </si>
  <si>
    <t>Fouling factor, usually 1 for surface aerator rotors</t>
  </si>
  <si>
    <t>Power consumption (rotors)</t>
  </si>
  <si>
    <t>Change in saturation concentration from clean water to process conditions</t>
  </si>
  <si>
    <t>AOTR</t>
  </si>
  <si>
    <t xml:space="preserve">Actual Oxygen Transfer Rate </t>
  </si>
  <si>
    <t>Oxygen Saturation Concentration</t>
  </si>
  <si>
    <t>Oxygen Process Concentration</t>
  </si>
  <si>
    <t>mg/L</t>
  </si>
  <si>
    <t>1.4</t>
  </si>
  <si>
    <t>1.5</t>
  </si>
  <si>
    <t>1.6</t>
  </si>
  <si>
    <t>Mass transfer coefficient</t>
  </si>
  <si>
    <t>0.2</t>
  </si>
  <si>
    <t>Diffusion coefficient</t>
  </si>
  <si>
    <t>0.4</t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</si>
  <si>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O2 Tprocess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</si>
  <si>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N2O Tprocess</t>
    </r>
  </si>
  <si>
    <t>Aerated zone</t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</si>
  <si>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/h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</si>
  <si>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/kWh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</si>
  <si>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process</t>
    </r>
  </si>
  <si>
    <t>Formula</t>
  </si>
  <si>
    <t>Standard temperature</t>
  </si>
  <si>
    <t>(-)</t>
  </si>
  <si>
    <r>
      <t>V</t>
    </r>
    <r>
      <rPr>
        <b/>
        <vertAlign val="subscript"/>
        <sz val="12"/>
        <color theme="1"/>
        <rFont val="Calibri"/>
        <family val="2"/>
        <scheme val="minor"/>
      </rPr>
      <t>g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</si>
  <si>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·bar/mol</t>
    </r>
    <r>
      <rPr>
        <sz val="12"/>
        <color theme="1"/>
        <rFont val="Calibri"/>
        <family val="2"/>
      </rPr>
      <t>·</t>
    </r>
    <r>
      <rPr>
        <sz val="12"/>
        <color theme="1"/>
        <rFont val="Calibri"/>
        <family val="2"/>
        <scheme val="minor"/>
      </rPr>
      <t>K</t>
    </r>
  </si>
  <si>
    <r>
      <t>gN/m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</si>
  <si>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</si>
  <si>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N2O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</si>
  <si>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</si>
  <si>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O2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</si>
  <si>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</si>
  <si>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</t>
    </r>
    <r>
      <rPr>
        <b/>
        <sz val="12"/>
        <color theme="1"/>
        <rFont val="Calibri"/>
        <family val="2"/>
        <scheme val="minor"/>
      </rPr>
      <t>(20</t>
    </r>
    <r>
      <rPr>
        <b/>
        <sz val="12"/>
        <color theme="1"/>
        <rFont val="Calibri"/>
        <family val="2"/>
      </rPr>
      <t>°C)</t>
    </r>
  </si>
  <si>
    <r>
      <t>kg/m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</si>
  <si>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Sat_Tprocess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</si>
  <si>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</si>
  <si>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h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</si>
  <si>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NTR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</si>
  <si>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O/h </t>
    </r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</si>
  <si>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Emission rate</t>
    </r>
  </si>
  <si>
    <r>
      <t>kgN-N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O/day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</si>
  <si>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</si>
  <si>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N2O,non-aerated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</si>
  <si>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t>1.1</t>
  </si>
  <si>
    <t>1.3</t>
  </si>
  <si>
    <t>4.2</t>
  </si>
  <si>
    <t>4.1</t>
  </si>
  <si>
    <t>0.5</t>
  </si>
  <si>
    <t>Nitrous Oxide measured
Aerated</t>
  </si>
  <si>
    <t>Nitrous Oxide measured
Non-Aerated</t>
  </si>
  <si>
    <t>Henrys constant at the std. Temp.</t>
  </si>
  <si>
    <t>Henrys constant</t>
  </si>
  <si>
    <t>Gas velocity</t>
  </si>
  <si>
    <t>Mass transfer coefficient at std. Temp</t>
  </si>
  <si>
    <t>Mass transfer coefficient at process Temp</t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</si>
  <si>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emission rate</t>
    </r>
  </si>
  <si>
    <t>Non-erated zone</t>
  </si>
  <si>
    <r>
      <t>2-4 day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</si>
  <si>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O/L = gN-N2O/m</t>
    </r>
    <r>
      <rPr>
        <vertAlign val="superscript"/>
        <sz val="12"/>
        <color theme="1"/>
        <rFont val="Calibri"/>
        <family val="2"/>
        <scheme val="minor"/>
      </rPr>
      <t>3</t>
    </r>
  </si>
  <si>
    <t>Nitrous oxide liquid phase concentration</t>
  </si>
  <si>
    <t>Constants</t>
  </si>
  <si>
    <t>There are 2 standards with the same STD pressure and RH=0%, but different temperatures:</t>
  </si>
  <si>
    <t>DIN 1343 : temperature 273.15K (0°C)</t>
  </si>
  <si>
    <t>ISO 2533 : temperature 288.15K (15°C)</t>
  </si>
  <si>
    <t>Standard - DIN 1343</t>
  </si>
  <si>
    <t>Water vapor pressure</t>
  </si>
  <si>
    <t>mbar</t>
  </si>
  <si>
    <t>Pressure in process</t>
  </si>
  <si>
    <t>at 20 deg</t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</si>
  <si>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second (@ Tprocess)</t>
    </r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</si>
  <si>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day (@Tprocess)</t>
    </r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</si>
  <si>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second (@20°C)</t>
    </r>
  </si>
  <si>
    <t>Input</t>
  </si>
  <si>
    <t>Calculations</t>
  </si>
  <si>
    <t>In our experience most professionals are using the DIN 1343 but you should always check your own system.</t>
  </si>
  <si>
    <t>The combined gas law:</t>
  </si>
  <si>
    <t>Constants - This example will use DIN 1343</t>
  </si>
  <si>
    <t>Total emission</t>
  </si>
  <si>
    <t>IPCC</t>
  </si>
  <si>
    <t>mol/L</t>
  </si>
  <si>
    <t>Choose the air flow type
in the Drop down menu</t>
  </si>
  <si>
    <t>Atomic mass Nitrogen</t>
  </si>
  <si>
    <t>Atomic mass Oxygen</t>
  </si>
  <si>
    <t xml:space="preserve">You should now sum up your emission rate using e.g. numerical integration. </t>
  </si>
  <si>
    <r>
      <t>Weight of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molecule</t>
    </r>
  </si>
  <si>
    <r>
      <t>The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sensor is measuring the nitrogen in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O, why you have to calculate the weight of the total molecule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O.</t>
    </r>
  </si>
  <si>
    <r>
      <t>kg CO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-eq pr. kg N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O</t>
    </r>
  </si>
  <si>
    <r>
      <t>Calculation example on converting N</t>
    </r>
    <r>
      <rPr>
        <b/>
        <vertAlign val="subscript"/>
        <sz val="12"/>
        <color theme="4" tint="-0.499984740745262"/>
        <rFont val="Calibri"/>
        <family val="2"/>
        <scheme val="minor"/>
      </rPr>
      <t>2</t>
    </r>
    <r>
      <rPr>
        <b/>
        <sz val="12"/>
        <color theme="4" tint="-0.499984740745262"/>
        <rFont val="Calibri"/>
        <family val="2"/>
        <scheme val="minor"/>
      </rPr>
      <t>O emission to CO</t>
    </r>
    <r>
      <rPr>
        <b/>
        <vertAlign val="subscript"/>
        <sz val="12"/>
        <color theme="4" tint="-0.499984740745262"/>
        <rFont val="Calibri"/>
        <family val="2"/>
        <scheme val="minor"/>
      </rPr>
      <t>2</t>
    </r>
    <r>
      <rPr>
        <b/>
        <sz val="12"/>
        <color theme="4" tint="-0.499984740745262"/>
        <rFont val="Calibri"/>
        <family val="2"/>
        <scheme val="minor"/>
      </rPr>
      <t>-eq</t>
    </r>
  </si>
  <si>
    <r>
      <t>kg-N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</si>
  <si>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equivalent</t>
    </r>
  </si>
  <si>
    <r>
      <t>kg 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-eq</t>
    </r>
  </si>
  <si>
    <r>
      <t>For P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you will have to consider the water vaper pressure, which is temperature dependent. </t>
    </r>
  </si>
  <si>
    <t>Campbells equation:</t>
  </si>
  <si>
    <r>
      <t>P</t>
    </r>
    <r>
      <rPr>
        <b/>
        <vertAlign val="subscript"/>
        <sz val="12"/>
        <color theme="1"/>
        <rFont val="Calibri"/>
        <family val="2"/>
        <scheme val="minor"/>
      </rPr>
      <t>1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</si>
  <si>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1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</si>
  <si>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2</t>
    </r>
  </si>
  <si>
    <t>Non-aerated zone</t>
  </si>
  <si>
    <t>bar</t>
  </si>
  <si>
    <t>Process temperature</t>
  </si>
  <si>
    <r>
      <t>P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(@ Tprocess)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</si>
  <si>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>process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</si>
  <si>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 xml:space="preserve">2 </t>
    </r>
    <r>
      <rPr>
        <b/>
        <sz val="12"/>
        <color theme="1"/>
        <rFont val="Calibri"/>
        <family val="2"/>
        <scheme val="minor"/>
      </rPr>
      <t>(@20°C)</t>
    </r>
  </si>
  <si>
    <r>
      <t>T</t>
    </r>
    <r>
      <rPr>
        <vertAlign val="subscript"/>
        <sz val="12"/>
        <color theme="1"/>
        <rFont val="Calibri"/>
        <family val="2"/>
        <scheme val="minor"/>
      </rPr>
      <t>process</t>
    </r>
  </si>
  <si>
    <r>
      <t>T</t>
    </r>
    <r>
      <rPr>
        <vertAlign val="subscript"/>
        <sz val="12"/>
        <color theme="1"/>
        <rFont val="Calibri"/>
        <family val="2"/>
        <scheme val="minor"/>
      </rPr>
      <t>20°C</t>
    </r>
  </si>
  <si>
    <t>Convert air flow at process temperature</t>
  </si>
  <si>
    <t>The combined gas law including Campbells equation</t>
  </si>
  <si>
    <t>Q_A (Nm3/h)</t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</si>
  <si>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</si>
  <si>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 xml:space="preserve">Unisense Environment A/S - 2025 </t>
    </r>
    <r>
      <rPr>
        <sz val="11"/>
        <color theme="1"/>
        <rFont val="Grotesque"/>
        <family val="2"/>
      </rPr>
      <t>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</si>
</sst>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"/>
    <numFmt numFmtId="167" formatCode="0.000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A7D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vertAlign val="subscript"/>
      <sz val="12"/>
      <color theme="1"/>
      <name val="Aptos"/>
      <family val="2"/>
    </font>
    <font>
      <sz val="12"/>
      <color rgb="FF3F3F76"/>
      <name val="Calibri"/>
      <family val="2"/>
      <scheme val="minor"/>
    </font>
    <font>
      <b/>
      <vertAlign val="subscript"/>
      <sz val="12"/>
      <color theme="4" tint="-0.499984740745262"/>
      <name val="Calibri"/>
      <family val="2"/>
      <scheme val="minor"/>
    </font>
    <font>
      <b/>
      <sz val="12"/>
      <color rgb="FF3F3F76"/>
      <name val="Calibri"/>
      <family val="2"/>
      <scheme val="minor"/>
    </font>
    <font>
      <sz val="11"/>
      <color theme="1"/>
      <name val="Grotesque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6" fillId="4" borderId="12" applyNumberFormat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20" fillId="8" borderId="12" applyNumberFormat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</cellStyleXfs>
  <cellXfs count="168">
    <xf numFmtId="0" fontId="0" fillId="0" borderId="0" xfId="0"/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8" fillId="0" borderId="1" xfId="0" applyFont="1" applyBorder="1"/>
    <xf numFmtId="0" fontId="8" fillId="0" borderId="13" xfId="0" applyFont="1" applyBorder="1"/>
    <xf numFmtId="0" fontId="8" fillId="0" borderId="8" xfId="0" applyFont="1" applyBorder="1"/>
    <xf numFmtId="0" fontId="1" fillId="0" borderId="5" xfId="0" applyFont="1" applyBorder="1"/>
    <xf numFmtId="0" fontId="1" fillId="0" borderId="11" xfId="0" applyFont="1" applyBorder="1"/>
    <xf numFmtId="0" fontId="8" fillId="0" borderId="9" xfId="0" applyFont="1" applyBorder="1"/>
    <xf numFmtId="0" fontId="8" fillId="0" borderId="9" xfId="0" applyFont="1" applyBorder="1" applyAlignment="1">
      <alignment horizontal="center" vertical="center"/>
    </xf>
    <xf numFmtId="0" fontId="10" fillId="2" borderId="10" xfId="0" applyFont="1" applyFill="1" applyBorder="1"/>
    <xf numFmtId="0" fontId="1" fillId="0" borderId="15" xfId="0" applyFont="1" applyBorder="1"/>
    <xf numFmtId="0" fontId="8" fillId="0" borderId="1" xfId="0" applyFont="1" applyBorder="1" applyAlignment="1">
      <alignment wrapText="1"/>
    </xf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8" fillId="0" borderId="3" xfId="0" applyFont="1" applyBorder="1"/>
    <xf numFmtId="0" fontId="8" fillId="0" borderId="3" xfId="0" applyFont="1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5" fontId="8" fillId="6" borderId="4" xfId="3" applyNumberFormat="1" applyFont="1" applyBorder="1"/>
    <xf numFmtId="0" fontId="8" fillId="7" borderId="6" xfId="2" applyFont="1" applyFill="1" applyBorder="1"/>
    <xf numFmtId="0" fontId="8" fillId="7" borderId="6" xfId="0" applyFont="1" applyFill="1" applyBorder="1"/>
    <xf numFmtId="0" fontId="1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wrapText="1"/>
    </xf>
    <xf numFmtId="0" fontId="8" fillId="7" borderId="14" xfId="0" applyFont="1" applyFill="1" applyBorder="1"/>
    <xf numFmtId="0" fontId="8" fillId="0" borderId="0" xfId="0" applyFont="1"/>
    <xf numFmtId="0" fontId="8" fillId="0" borderId="4" xfId="2" applyFont="1" applyFill="1" applyBorder="1"/>
    <xf numFmtId="0" fontId="8" fillId="0" borderId="6" xfId="0" applyFont="1" applyBorder="1"/>
    <xf numFmtId="0" fontId="8" fillId="0" borderId="0" xfId="0" applyFont="1" applyAlignment="1">
      <alignment horizontal="left" vertical="center"/>
    </xf>
    <xf numFmtId="2" fontId="14" fillId="3" borderId="6" xfId="1" applyNumberFormat="1" applyFont="1" applyFill="1" applyBorder="1"/>
    <xf numFmtId="2" fontId="14" fillId="3" borderId="14" xfId="1" applyNumberFormat="1" applyFont="1" applyFill="1" applyBorder="1"/>
    <xf numFmtId="0" fontId="16" fillId="0" borderId="0" xfId="0" applyFont="1"/>
    <xf numFmtId="0" fontId="15" fillId="0" borderId="15" xfId="0" applyFont="1" applyBorder="1"/>
    <xf numFmtId="167" fontId="18" fillId="0" borderId="0" xfId="0" applyNumberFormat="1" applyFont="1"/>
    <xf numFmtId="167" fontId="19" fillId="3" borderId="14" xfId="1" applyNumberFormat="1" applyFont="1" applyFill="1" applyBorder="1"/>
    <xf numFmtId="0" fontId="18" fillId="0" borderId="0" xfId="0" applyFont="1"/>
    <xf numFmtId="167" fontId="19" fillId="3" borderId="17" xfId="1" applyNumberFormat="1" applyFont="1" applyFill="1" applyBorder="1"/>
    <xf numFmtId="0" fontId="1" fillId="0" borderId="22" xfId="0" applyFont="1" applyBorder="1"/>
    <xf numFmtId="0" fontId="8" fillId="0" borderId="23" xfId="0" applyFont="1" applyBorder="1"/>
    <xf numFmtId="0" fontId="8" fillId="7" borderId="4" xfId="0" applyFont="1" applyFill="1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8" fillId="0" borderId="11" xfId="0" applyFont="1" applyBorder="1" applyAlignment="1">
      <alignment horizontal="center"/>
    </xf>
    <xf numFmtId="0" fontId="1" fillId="0" borderId="9" xfId="0" applyFont="1" applyBorder="1"/>
    <xf numFmtId="0" fontId="8" fillId="0" borderId="1" xfId="0" applyFont="1" applyBorder="1" applyAlignment="1">
      <alignment horizontal="center" vertical="center"/>
    </xf>
    <xf numFmtId="0" fontId="8" fillId="0" borderId="24" xfId="0" applyFont="1" applyBorder="1"/>
    <xf numFmtId="0" fontId="8" fillId="6" borderId="7" xfId="3" applyFont="1" applyBorder="1"/>
    <xf numFmtId="0" fontId="8" fillId="6" borderId="6" xfId="3" applyFont="1" applyBorder="1"/>
    <xf numFmtId="165" fontId="14" fillId="3" borderId="14" xfId="1" applyNumberFormat="1" applyFont="1" applyFill="1" applyBorder="1"/>
    <xf numFmtId="0" fontId="8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15" fillId="0" borderId="9" xfId="0" applyFont="1" applyBorder="1"/>
    <xf numFmtId="0" fontId="8" fillId="0" borderId="16" xfId="0" applyFont="1" applyBorder="1" applyAlignment="1">
      <alignment wrapText="1"/>
    </xf>
    <xf numFmtId="0" fontId="10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16" fillId="0" borderId="16" xfId="0" applyFont="1" applyBorder="1" applyAlignment="1">
      <alignment horizontal="left" vertical="center"/>
    </xf>
    <xf numFmtId="0" fontId="8" fillId="0" borderId="13" xfId="0" applyFont="1" applyBorder="1" applyAlignment="1">
      <alignment wrapText="1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0" borderId="27" xfId="0" applyFont="1" applyBorder="1" applyAlignment="1">
      <alignment wrapText="1"/>
    </xf>
    <xf numFmtId="0" fontId="21" fillId="0" borderId="0" xfId="0" applyFont="1" applyAlignment="1">
      <alignment vertical="center" wrapText="1"/>
    </xf>
    <xf numFmtId="0" fontId="19" fillId="10" borderId="6" xfId="6" applyFont="1" applyBorder="1"/>
    <xf numFmtId="0" fontId="22" fillId="0" borderId="29" xfId="0" applyFont="1" applyBorder="1" applyAlignment="1">
      <alignment vertical="center"/>
    </xf>
    <xf numFmtId="0" fontId="8" fillId="0" borderId="30" xfId="0" applyFont="1" applyBorder="1"/>
    <xf numFmtId="0" fontId="8" fillId="0" borderId="29" xfId="0" applyFont="1" applyBorder="1" applyAlignment="1">
      <alignment vertical="center"/>
    </xf>
    <xf numFmtId="0" fontId="8" fillId="0" borderId="29" xfId="0" applyFont="1" applyBorder="1"/>
    <xf numFmtId="0" fontId="8" fillId="11" borderId="0" xfId="0" applyFont="1" applyFill="1"/>
    <xf numFmtId="167" fontId="14" fillId="3" borderId="14" xfId="1" applyNumberFormat="1" applyFont="1" applyFill="1" applyBorder="1"/>
    <xf numFmtId="0" fontId="8" fillId="0" borderId="0" xfId="0" applyFont="1" applyAlignment="1">
      <alignment horizontal="center" vertical="center"/>
    </xf>
    <xf numFmtId="167" fontId="8" fillId="0" borderId="0" xfId="0" applyNumberFormat="1" applyFont="1"/>
    <xf numFmtId="167" fontId="14" fillId="3" borderId="6" xfId="1" applyNumberFormat="1" applyFont="1" applyFill="1" applyBorder="1" applyAlignment="1">
      <alignment horizontal="right" vertical="center"/>
    </xf>
    <xf numFmtId="0" fontId="8" fillId="6" borderId="1" xfId="3" applyFont="1" applyBorder="1"/>
    <xf numFmtId="0" fontId="19" fillId="10" borderId="1" xfId="6" applyFont="1" applyBorder="1"/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8" fillId="0" borderId="22" xfId="0" applyFont="1" applyBorder="1"/>
    <xf numFmtId="0" fontId="24" fillId="8" borderId="34" xfId="4" applyFont="1" applyBorder="1" applyAlignment="1">
      <alignment wrapText="1"/>
    </xf>
    <xf numFmtId="0" fontId="26" fillId="8" borderId="35" xfId="4" applyFont="1" applyBorder="1" applyAlignment="1">
      <alignment horizontal="left"/>
    </xf>
    <xf numFmtId="164" fontId="14" fillId="3" borderId="17" xfId="1" applyNumberFormat="1" applyFont="1" applyFill="1" applyBorder="1"/>
    <xf numFmtId="0" fontId="8" fillId="0" borderId="28" xfId="0" applyFont="1" applyBorder="1"/>
    <xf numFmtId="0" fontId="8" fillId="0" borderId="36" xfId="0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39" xfId="0" applyFont="1" applyBorder="1"/>
    <xf numFmtId="0" fontId="5" fillId="6" borderId="6" xfId="3" applyBorder="1"/>
    <xf numFmtId="0" fontId="19" fillId="10" borderId="14" xfId="6" applyFont="1" applyBorder="1"/>
    <xf numFmtId="0" fontId="8" fillId="0" borderId="0" xfId="0" applyFont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0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2" fillId="0" borderId="1" xfId="0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65" fontId="19" fillId="10" borderId="6" xfId="6" applyNumberFormat="1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165" fontId="19" fillId="10" borderId="14" xfId="6" applyNumberFormat="1" applyFont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" xfId="2" applyFont="1" applyFill="1" applyBorder="1" applyAlignment="1">
      <alignment vertical="center"/>
    </xf>
    <xf numFmtId="0" fontId="12" fillId="0" borderId="5" xfId="0" quotePrefix="1" applyFont="1" applyBorder="1" applyAlignment="1">
      <alignment vertical="center"/>
    </xf>
    <xf numFmtId="11" fontId="8" fillId="0" borderId="6" xfId="2" applyNumberFormat="1" applyFont="1" applyFill="1" applyBorder="1" applyAlignment="1">
      <alignment vertical="center"/>
    </xf>
    <xf numFmtId="0" fontId="8" fillId="6" borderId="7" xfId="3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6" borderId="6" xfId="3" applyNumberFormat="1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3" xfId="0" applyFont="1" applyBorder="1" applyAlignment="1">
      <alignment vertical="center" wrapText="1"/>
    </xf>
    <xf numFmtId="167" fontId="8" fillId="6" borderId="26" xfId="3" applyNumberFormat="1" applyFont="1" applyBorder="1" applyAlignment="1">
      <alignment vertical="center"/>
    </xf>
    <xf numFmtId="2" fontId="8" fillId="6" borderId="6" xfId="3" applyNumberFormat="1" applyFont="1" applyBorder="1" applyAlignment="1">
      <alignment vertical="center"/>
    </xf>
    <xf numFmtId="0" fontId="1" fillId="11" borderId="5" xfId="0" applyFont="1" applyFill="1" applyBorder="1" applyAlignment="1">
      <alignment vertical="center"/>
    </xf>
    <xf numFmtId="0" fontId="8" fillId="11" borderId="13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1" fontId="8" fillId="10" borderId="6" xfId="6" applyNumberFormat="1" applyFont="1" applyBorder="1" applyAlignment="1">
      <alignment vertical="center"/>
    </xf>
    <xf numFmtId="167" fontId="8" fillId="10" borderId="6" xfId="6" applyNumberFormat="1" applyFont="1" applyBorder="1" applyAlignment="1">
      <alignment vertical="center"/>
    </xf>
    <xf numFmtId="0" fontId="8" fillId="6" borderId="6" xfId="3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165" fontId="14" fillId="3" borderId="14" xfId="1" applyNumberFormat="1" applyFont="1" applyFill="1" applyBorder="1" applyAlignment="1">
      <alignment vertical="center"/>
    </xf>
    <xf numFmtId="0" fontId="10" fillId="2" borderId="25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14" fillId="3" borderId="6" xfId="1" applyNumberFormat="1" applyFont="1" applyFill="1" applyBorder="1" applyAlignment="1">
      <alignment vertical="center"/>
    </xf>
    <xf numFmtId="2" fontId="14" fillId="3" borderId="6" xfId="1" applyNumberFormat="1" applyFont="1" applyFill="1" applyBorder="1" applyAlignment="1">
      <alignment vertical="center"/>
    </xf>
    <xf numFmtId="164" fontId="14" fillId="3" borderId="6" xfId="1" applyNumberFormat="1" applyFont="1" applyFill="1" applyBorder="1" applyAlignment="1">
      <alignment vertical="center"/>
    </xf>
    <xf numFmtId="167" fontId="14" fillId="3" borderId="6" xfId="1" applyNumberFormat="1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167" fontId="14" fillId="3" borderId="14" xfId="1" applyNumberFormat="1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10" fillId="2" borderId="3" xfId="0" applyFont="1" applyFill="1" applyBorder="1" applyAlignment="1">
      <alignment horizontal="left"/>
    </xf>
    <xf numFmtId="0" fontId="8" fillId="0" borderId="16" xfId="0" applyFont="1" applyBorder="1" applyAlignment="1">
      <alignment horizontal="right" vertical="center"/>
    </xf>
    <xf numFmtId="0" fontId="8" fillId="0" borderId="24" xfId="0" applyFont="1" applyBorder="1" applyAlignment="1">
      <alignment vertical="center"/>
    </xf>
    <xf numFmtId="167" fontId="19" fillId="10" borderId="26" xfId="6" applyNumberFormat="1" applyFont="1" applyBorder="1" applyAlignment="1">
      <alignment vertical="center"/>
    </xf>
    <xf numFmtId="167" fontId="19" fillId="10" borderId="6" xfId="6" applyNumberFormat="1" applyFont="1" applyBorder="1" applyAlignment="1">
      <alignment vertical="center"/>
    </xf>
    <xf numFmtId="167" fontId="19" fillId="10" borderId="14" xfId="6" applyNumberFormat="1" applyFont="1" applyBorder="1" applyAlignment="1">
      <alignment vertical="center"/>
    </xf>
    <xf numFmtId="0" fontId="8" fillId="0" borderId="2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" fillId="9" borderId="28" xfId="5" applyFont="1" applyBorder="1" applyAlignment="1">
      <alignment horizontal="center"/>
    </xf>
    <xf numFmtId="0" fontId="1" fillId="9" borderId="32" xfId="5" applyFont="1" applyBorder="1" applyAlignment="1">
      <alignment horizontal="center"/>
    </xf>
    <xf numFmtId="0" fontId="1" fillId="9" borderId="33" xfId="5" applyFont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7">
    <cellStyle name="20% - Accent1" xfId="5" builtinId="30"/>
    <cellStyle name="20% - Accent2" xfId="6" builtinId="34"/>
    <cellStyle name="20% - Accent6" xfId="2" builtinId="50"/>
    <cellStyle name="40% - Accent6" xfId="3" builtinId="51"/>
    <cellStyle name="Calculation" xfId="1" builtinId="22"/>
    <cellStyle name="Input" xfId="4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75266</xdr:colOff>
      <xdr:row>30</xdr:row>
      <xdr:rowOff>19237</xdr:rowOff>
    </xdr:from>
    <xdr:to>
      <xdr:col>22</xdr:col>
      <xdr:colOff>265766</xdr:colOff>
      <xdr:row>58</xdr:row>
      <xdr:rowOff>48325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0786E9BF-3598-6678-E372-F98F4E9D8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501"/>
        <a:stretch>
          <a:fillRect/>
        </a:stretch>
      </xdr:blipFill>
      <xdr:spPr>
        <a:xfrm>
          <a:off x="18374472" y="8524502"/>
          <a:ext cx="6241676" cy="6360412"/>
        </a:xfrm>
        <a:prstGeom prst="rect">
          <a:avLst/>
        </a:prstGeom>
      </xdr:spPr>
    </xdr:pic>
    <xdr:clientData/>
  </xdr:twoCellAnchor>
  <xdr:oneCellAnchor>
    <xdr:from>
      <xdr:col>8</xdr:col>
      <xdr:colOff>646579</xdr:colOff>
      <xdr:row>19</xdr:row>
      <xdr:rowOff>558</xdr:rowOff>
    </xdr:from>
    <xdr:ext cx="1186607" cy="548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471B0F71-A475-F608-3D93-6D2A33F0CB99}"/>
                </a:ext>
              </a:extLst>
            </xdr:cNvPr>
            <xdr:cNvSpPr txBox="1"/>
          </xdr:nvSpPr>
          <xdr:spPr>
            <a:xfrm>
              <a:off x="13096314" y="5188882"/>
              <a:ext cx="1186607" cy="548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m:rPr>
                        <m:nor/>
                      </m:rPr>
                      <a:rPr lang="da-DK" sz="12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da-DK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471B0F71-A475-F608-3D93-6D2A33F0CB99}"/>
                </a:ext>
              </a:extLst>
            </xdr:cNvPr>
            <xdr:cNvSpPr txBox="1"/>
          </xdr:nvSpPr>
          <xdr:spPr>
            <a:xfrm>
              <a:off x="13096314" y="5188882"/>
              <a:ext cx="1186607" cy="548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1∗𝑉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 =𝑃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2∗𝑉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da-DK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1610284</xdr:colOff>
      <xdr:row>28</xdr:row>
      <xdr:rowOff>254373</xdr:rowOff>
    </xdr:from>
    <xdr:ext cx="3154005" cy="557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7233B02B-4B96-4629-B3FC-77374C28D8DD}"/>
                </a:ext>
              </a:extLst>
            </xdr:cNvPr>
            <xdr:cNvSpPr txBox="1"/>
          </xdr:nvSpPr>
          <xdr:spPr>
            <a:xfrm>
              <a:off x="12412755" y="8625167"/>
              <a:ext cx="3154005" cy="557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d>
                      <m:d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da-DK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52,57−</m:t>
                        </m:r>
                        <m:f>
                          <m:fPr>
                            <m:ctrlPr>
                              <a:rPr lang="da-DK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6690,9</m:t>
                            </m:r>
                          </m:num>
                          <m:den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+273,15</m:t>
                            </m:r>
                          </m:den>
                        </m:f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−4,681∗</m:t>
                        </m:r>
                        <m:func>
                          <m:funcPr>
                            <m:ctrlPr>
                              <a:rPr lang="da-DK" sz="14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da-DK" sz="1400" b="0" i="0">
                                <a:latin typeface="Cambria Math" panose="02040503050406030204" pitchFamily="18" charset="0"/>
                              </a:rPr>
                              <m:t>ln</m:t>
                            </m:r>
                          </m:fName>
                          <m:e>
                            <m:d>
                              <m:dPr>
                                <m:ctrlP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  <m:t>+273,15</m:t>
                                </m:r>
                              </m:e>
                            </m:d>
                          </m:e>
                        </m:func>
                      </m:sup>
                    </m:sSup>
                  </m:oMath>
                </m:oMathPara>
              </a14:m>
              <a:endParaRPr lang="da-DK" sz="1400" b="0"/>
            </a:p>
            <a:p>
              <a:endParaRPr lang="da-DK" sz="1400"/>
            </a:p>
          </xdr:txBody>
        </xdr:sp>
      </mc:Choice>
      <mc:Fallback xmlns="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7233B02B-4B96-4629-B3FC-77374C28D8DD}"/>
                </a:ext>
              </a:extLst>
            </xdr:cNvPr>
            <xdr:cNvSpPr txBox="1"/>
          </xdr:nvSpPr>
          <xdr:spPr>
            <a:xfrm>
              <a:off x="12412755" y="8625167"/>
              <a:ext cx="3154005" cy="557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400" b="0" i="0">
                  <a:latin typeface="Cambria Math" panose="02040503050406030204" pitchFamily="18" charset="0"/>
                </a:rPr>
                <a:t>𝑃_𝑤 (𝑇)=𝑒^(52,57−6690,9/(𝑇+273,15)−4,681∗ln⁡(𝑇+273,15) )</a:t>
              </a:r>
              <a:endParaRPr lang="da-DK" sz="1400" b="0"/>
            </a:p>
            <a:p>
              <a:pPr/>
              <a:endParaRPr lang="da-DK" sz="1400"/>
            </a:p>
          </xdr:txBody>
        </xdr:sp>
      </mc:Fallback>
    </mc:AlternateContent>
    <xdr:clientData/>
  </xdr:oneCellAnchor>
  <xdr:oneCellAnchor>
    <xdr:from>
      <xdr:col>7</xdr:col>
      <xdr:colOff>930088</xdr:colOff>
      <xdr:row>32</xdr:row>
      <xdr:rowOff>280147</xdr:rowOff>
    </xdr:from>
    <xdr:ext cx="4128566" cy="466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0E4ACECA-474D-4493-876F-3A3BB8538495}"/>
                </a:ext>
              </a:extLst>
            </xdr:cNvPr>
            <xdr:cNvSpPr txBox="1"/>
          </xdr:nvSpPr>
          <xdr:spPr>
            <a:xfrm>
              <a:off x="11732559" y="9558618"/>
              <a:ext cx="4128566" cy="466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𝑝𝑟𝑜𝑐𝑒𝑠𝑠</m:t>
                            </m:r>
                          </m:sub>
                        </m:sSub>
                      </m:den>
                    </m:f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𝑝𝑟𝑜𝑐𝑒𝑠𝑠</m:t>
                            </m:r>
                          </m:sub>
                        </m:s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sub>
                        </m:sSub>
                        <m:d>
                          <m:d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d>
                        <m:d>
                          <m:dPr>
                            <m:begChr m:val="["/>
                            <m:endChr m:val="]"/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𝑏𝑎𝑟</m:t>
                            </m:r>
                          </m:e>
                        </m:d>
                      </m:den>
                    </m:f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da-DK" sz="1100">
                <a:latin typeface="12"/>
              </a:endParaRPr>
            </a:p>
          </xdr:txBody>
        </xdr:sp>
      </mc:Choice>
      <mc:Fallback xmlns="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0E4ACECA-474D-4493-876F-3A3BB8538495}"/>
                </a:ext>
              </a:extLst>
            </xdr:cNvPr>
            <xdr:cNvSpPr txBox="1"/>
          </xdr:nvSpPr>
          <xdr:spPr>
            <a:xfrm>
              <a:off x="11732559" y="9558618"/>
              <a:ext cx="4128566" cy="466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4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𝑉_2=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𝑉_1∗𝑃_1/𝑃_(2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,𝑝𝑟𝑜𝑐𝑒𝑠𝑠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) ∗𝑇_2/𝑇_1 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da-DK" sz="14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𝑉_1∗𝑃_1/(𝑃_𝑝𝑟𝑜𝑐𝑒𝑠𝑠−𝑃_𝑊 (𝑇)[𝑏𝑎𝑟] )∗𝑇_2/𝑇_1 </a:t>
              </a:r>
              <a:endParaRPr lang="da-DK" sz="1100">
                <a:latin typeface="12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100852</xdr:colOff>
      <xdr:row>6</xdr:row>
      <xdr:rowOff>0</xdr:rowOff>
    </xdr:from>
    <xdr:to>
      <xdr:col>22</xdr:col>
      <xdr:colOff>277481</xdr:colOff>
      <xdr:row>33</xdr:row>
      <xdr:rowOff>11406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518E9478-7CD8-031F-3EB8-FAEEA6FD7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4"/>
        <a:stretch>
          <a:fillRect/>
        </a:stretch>
      </xdr:blipFill>
      <xdr:spPr>
        <a:xfrm>
          <a:off x="18400058" y="1154206"/>
          <a:ext cx="6227805" cy="8125959"/>
        </a:xfrm>
        <a:prstGeom prst="rect">
          <a:avLst/>
        </a:prstGeom>
      </xdr:spPr>
    </xdr:pic>
    <xdr:clientData/>
  </xdr:twoCellAnchor>
  <xdr:twoCellAnchor editAs="oneCell">
    <xdr:from>
      <xdr:col>0</xdr:col>
      <xdr:colOff>187327</xdr:colOff>
      <xdr:row>1</xdr:row>
      <xdr:rowOff>100853</xdr:rowOff>
    </xdr:from>
    <xdr:to>
      <xdr:col>2</xdr:col>
      <xdr:colOff>547397</xdr:colOff>
      <xdr:row>5</xdr:row>
      <xdr:rowOff>39616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79EA81F-F10F-B990-4CE6-3C8AE17F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7" y="280147"/>
          <a:ext cx="2623658" cy="72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2</xdr:col>
      <xdr:colOff>111821</xdr:colOff>
      <xdr:row>3</xdr:row>
      <xdr:rowOff>86866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195DB6C-B337-4B61-990E-FE11420D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52400"/>
          <a:ext cx="2369246" cy="53454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15</xdr:col>
      <xdr:colOff>76200</xdr:colOff>
      <xdr:row>35</xdr:row>
      <xdr:rowOff>130342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0CFC5C8A-AD5D-9B3D-CDF6-746CFF12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3825" y="200025"/>
          <a:ext cx="6076950" cy="83599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85725</xdr:rowOff>
    </xdr:from>
    <xdr:to>
      <xdr:col>15</xdr:col>
      <xdr:colOff>114300</xdr:colOff>
      <xdr:row>71</xdr:row>
      <xdr:rowOff>44050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A6D72119-200C-2335-A2EA-97730FFC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3825" y="8515350"/>
          <a:ext cx="6115050" cy="7092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598714</xdr:colOff>
      <xdr:row>9</xdr:row>
      <xdr:rowOff>26864</xdr:rowOff>
    </xdr:from>
    <xdr:ext cx="13398126" cy="8768982"/>
    <xdr:pic>
      <xdr:nvPicPr>
        <xdr:cNvPr id="2" name="Billede 1">
          <a:extLst>
            <a:ext uri="{FF2B5EF4-FFF2-40B4-BE49-F238E27FC236}">
              <a16:creationId xmlns:a16="http://schemas.microsoft.com/office/drawing/2014/main" id="{BB2B449C-6991-4467-8B0F-454959B4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009" y="1653734"/>
          <a:ext cx="13398126" cy="8768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nvironment\Technology\Emission%20Control\Emission%20formula\N2O%20formula%20fine%20bubble%20diffusion%20Version%203.xlsx" TargetMode="External"/><Relationship Id="rId1" Type="http://schemas.openxmlformats.org/officeDocument/2006/relationships/externalLinkPath" Target="file:///L:\Environment\Technology\Emission%20Control\Emission%20formula\N2O%20formula%20fine%20bubble%20diffusion%20Version%2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nvironment\PHH%20working%20folder\N2O%20formula%20(version%202).xlsx" TargetMode="External"/><Relationship Id="rId1" Type="http://schemas.openxmlformats.org/officeDocument/2006/relationships/externalLinkPath" Target="file:///\\192.168.152.6\unisense$\Environment\PHH%20working%20folder\N2O%20formula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O Emission- Bottom Aeration"/>
    </sheetNames>
    <sheetDataSet>
      <sheetData sheetId="0">
        <row r="7">
          <cell r="F7">
            <v>2.47E-2</v>
          </cell>
        </row>
        <row r="8">
          <cell r="F8">
            <v>2675</v>
          </cell>
        </row>
        <row r="9">
          <cell r="F9">
            <v>2.9999999999999997E-4</v>
          </cell>
        </row>
        <row r="10">
          <cell r="F10">
            <v>8.3139999999999993E-5</v>
          </cell>
        </row>
        <row r="11">
          <cell r="F11">
            <v>3</v>
          </cell>
        </row>
        <row r="12">
          <cell r="F12">
            <v>25</v>
          </cell>
        </row>
        <row r="13">
          <cell r="F13">
            <v>12.14</v>
          </cell>
        </row>
        <row r="15">
          <cell r="F15">
            <v>2</v>
          </cell>
        </row>
        <row r="16">
          <cell r="F16">
            <v>1000</v>
          </cell>
        </row>
        <row r="17">
          <cell r="F17">
            <v>24000</v>
          </cell>
        </row>
        <row r="18">
          <cell r="F18">
            <v>0.27777777777777779</v>
          </cell>
        </row>
        <row r="19">
          <cell r="F19">
            <v>500</v>
          </cell>
        </row>
        <row r="20">
          <cell r="F20">
            <v>3.87</v>
          </cell>
        </row>
        <row r="21">
          <cell r="F21">
            <v>1935</v>
          </cell>
        </row>
        <row r="23">
          <cell r="F23">
            <v>0.1</v>
          </cell>
        </row>
        <row r="26">
          <cell r="F26">
            <v>891</v>
          </cell>
        </row>
        <row r="29">
          <cell r="F29">
            <v>3.7011670080252614E-2</v>
          </cell>
        </row>
        <row r="30">
          <cell r="F30">
            <v>1.1391075977613749</v>
          </cell>
        </row>
        <row r="31">
          <cell r="F31">
            <v>5.5555555555555556E-4</v>
          </cell>
        </row>
        <row r="32">
          <cell r="F32">
            <v>25.513708899658258</v>
          </cell>
        </row>
        <row r="33">
          <cell r="F33">
            <v>21.174635197386266</v>
          </cell>
        </row>
        <row r="36">
          <cell r="F36">
            <v>21.943892214257815</v>
          </cell>
        </row>
        <row r="41">
          <cell r="F41">
            <v>0.29920990782453855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O Emission- Bottom Aeration"/>
      <sheetName val="N2O Emission - Surface Aeration"/>
      <sheetName val="Aeration Field Size"/>
      <sheetName val="N2O Emission - Surface Aera (2)"/>
    </sheetNames>
    <sheetDataSet>
      <sheetData sheetId="0">
        <row r="7">
          <cell r="F7">
            <v>2.47E-2</v>
          </cell>
        </row>
        <row r="8">
          <cell r="F8">
            <v>2675</v>
          </cell>
        </row>
        <row r="9">
          <cell r="F9">
            <v>2.9999999999999997E-4</v>
          </cell>
        </row>
        <row r="10">
          <cell r="F10">
            <v>8.3139999999999993E-5</v>
          </cell>
        </row>
        <row r="11">
          <cell r="F11">
            <v>3</v>
          </cell>
        </row>
        <row r="12">
          <cell r="F12">
            <v>25</v>
          </cell>
        </row>
        <row r="13">
          <cell r="F13">
            <v>12.14</v>
          </cell>
        </row>
        <row r="15">
          <cell r="F15">
            <v>0.02</v>
          </cell>
        </row>
        <row r="16">
          <cell r="F16">
            <v>136.79999999999998</v>
          </cell>
        </row>
        <row r="17">
          <cell r="F17">
            <v>3283.2</v>
          </cell>
        </row>
        <row r="18">
          <cell r="F18">
            <v>3.7999999999999992E-2</v>
          </cell>
        </row>
        <row r="19">
          <cell r="F19">
            <v>1268.75</v>
          </cell>
        </row>
        <row r="20">
          <cell r="F20">
            <v>3.87</v>
          </cell>
        </row>
        <row r="21">
          <cell r="F21">
            <v>4910.0625</v>
          </cell>
        </row>
        <row r="23">
          <cell r="F23">
            <v>0.1</v>
          </cell>
        </row>
        <row r="26">
          <cell r="F26">
            <v>891</v>
          </cell>
        </row>
        <row r="29">
          <cell r="F29">
            <v>3.7011670080252614E-2</v>
          </cell>
        </row>
        <row r="30">
          <cell r="F30">
            <v>1.1391075977613749</v>
          </cell>
        </row>
        <row r="31">
          <cell r="F31">
            <v>2.9950738916256151E-5</v>
          </cell>
        </row>
        <row r="32">
          <cell r="F32">
            <v>2.0702292294198816</v>
          </cell>
        </row>
        <row r="33">
          <cell r="F33">
            <v>1.7181488148326109</v>
          </cell>
        </row>
        <row r="36">
          <cell r="F36">
            <v>1.3637231530260634E-2</v>
          </cell>
        </row>
        <row r="37">
          <cell r="F37">
            <v>6.6959659140550354E-2</v>
          </cell>
        </row>
        <row r="41">
          <cell r="F41">
            <v>0.29920990782453855</v>
          </cell>
        </row>
        <row r="42">
          <cell r="F42">
            <v>0.26659602787166387</v>
          </cell>
        </row>
      </sheetData>
      <sheetData sheetId="1"/>
      <sheetData sheetId="2"/>
      <sheetData sheetId="3">
        <row r="9">
          <cell r="F9">
            <v>22</v>
          </cell>
        </row>
        <row r="10">
          <cell r="F10">
            <v>66</v>
          </cell>
        </row>
        <row r="11">
          <cell r="F11">
            <v>1.8</v>
          </cell>
        </row>
        <row r="12">
          <cell r="F12">
            <v>4000</v>
          </cell>
        </row>
        <row r="13">
          <cell r="F13">
            <v>0.1</v>
          </cell>
        </row>
        <row r="21">
          <cell r="F21">
            <v>20</v>
          </cell>
        </row>
        <row r="22">
          <cell r="F22">
            <v>0.9</v>
          </cell>
        </row>
        <row r="23">
          <cell r="F23">
            <v>0.95</v>
          </cell>
        </row>
        <row r="24">
          <cell r="F24">
            <v>1</v>
          </cell>
        </row>
        <row r="25">
          <cell r="F25">
            <v>1.7700000000000001E-9</v>
          </cell>
        </row>
        <row r="26">
          <cell r="F26">
            <v>2.1200000000000001E-9</v>
          </cell>
        </row>
        <row r="27">
          <cell r="F27">
            <v>0</v>
          </cell>
        </row>
        <row r="28">
          <cell r="F28">
            <v>9.0324000000000012E-3</v>
          </cell>
        </row>
        <row r="29">
          <cell r="F29">
            <v>8.830014399999999E-3</v>
          </cell>
        </row>
        <row r="32">
          <cell r="F32">
            <v>118.8</v>
          </cell>
        </row>
        <row r="33">
          <cell r="F33">
            <v>104.12157249080686</v>
          </cell>
        </row>
        <row r="34">
          <cell r="F34">
            <v>2.9479445834994014</v>
          </cell>
        </row>
        <row r="35">
          <cell r="F35">
            <v>2.6936304815904446</v>
          </cell>
        </row>
        <row r="36">
          <cell r="F36">
            <v>1077.4521926361779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7BB0-ED97-46A4-BF14-79167E710D97}">
  <sheetPr>
    <tabColor theme="9" tint="-0.499984740745262"/>
  </sheetPr>
  <dimension ref="B1:O63"/>
  <sheetViews>
    <sheetView tabSelected="1" zoomScale="85" zoomScaleNormal="85" workbookViewId="0">
      <selection activeCell="G3" sqref="G3"/>
    </sheetView>
  </sheetViews>
  <sheetFormatPr defaultRowHeight="15" x14ac:dyDescent="0.25"/>
  <cols>
    <col min="2" max="2" width="23.7109375" bestFit="1" customWidth="1"/>
    <col min="3" max="3" width="29.42578125" bestFit="1" customWidth="1"/>
    <col min="4" max="4" width="25" customWidth="1"/>
    <col min="5" max="5" width="33.28515625" customWidth="1"/>
    <col min="6" max="6" width="22" customWidth="1"/>
    <col min="7" max="7" width="19.42578125" customWidth="1"/>
    <col min="8" max="8" width="24.7109375" customWidth="1"/>
    <col min="9" max="9" width="19.7109375" customWidth="1"/>
    <col min="10" max="10" width="27.42578125" bestFit="1" customWidth="1"/>
    <col min="11" max="11" width="19.85546875" customWidth="1"/>
  </cols>
  <sheetData>
    <row r="1" spans="2:11" x14ac:dyDescent="0.25">
      <c r="B1" t="s">
        <v>169</v>
      </c>
    </row>
    <row r="2" spans="2:11" ht="15.75" x14ac:dyDescent="0.25">
      <c r="D2" s="81" t="s">
        <v>133</v>
      </c>
    </row>
    <row r="3" spans="2:11" ht="15.75" x14ac:dyDescent="0.25">
      <c r="D3" s="82" t="s">
        <v>134</v>
      </c>
    </row>
    <row r="4" spans="2:11" ht="15.75" x14ac:dyDescent="0.25">
      <c r="D4" s="4" t="s">
        <v>121</v>
      </c>
    </row>
    <row r="6" spans="2:11" ht="15.75" thickBot="1" x14ac:dyDescent="0.3"/>
    <row r="7" spans="2:11" ht="16.5" thickBot="1" x14ac:dyDescent="0.3">
      <c r="B7" s="29"/>
      <c r="C7" s="111" t="s">
        <v>1</v>
      </c>
      <c r="D7" s="112" t="s">
        <v>2</v>
      </c>
      <c r="E7" s="113" t="s">
        <v>36</v>
      </c>
      <c r="F7" s="114" t="s">
        <v>3</v>
      </c>
      <c r="H7" s="163" t="s">
        <v>165</v>
      </c>
      <c r="I7" s="164"/>
      <c r="J7" s="164"/>
      <c r="K7" s="165"/>
    </row>
    <row r="8" spans="2:11" ht="46.5" customHeight="1" x14ac:dyDescent="0.25">
      <c r="B8" s="29"/>
      <c r="C8" s="115" t="s">
        <v>26</v>
      </c>
      <c r="D8" s="116" t="s">
        <v>0</v>
      </c>
      <c r="E8" s="117"/>
      <c r="F8" s="118">
        <v>2.47E-2</v>
      </c>
      <c r="H8" s="87" t="s">
        <v>141</v>
      </c>
      <c r="I8" s="29"/>
      <c r="J8" s="29"/>
      <c r="K8" s="73"/>
    </row>
    <row r="9" spans="2:11" ht="58.5" customHeight="1" thickBot="1" x14ac:dyDescent="0.3">
      <c r="B9" s="29"/>
      <c r="C9" s="119" t="s">
        <v>4</v>
      </c>
      <c r="D9" s="116" t="s">
        <v>5</v>
      </c>
      <c r="E9" s="117"/>
      <c r="F9" s="118">
        <v>2675</v>
      </c>
      <c r="H9" s="88" t="s">
        <v>167</v>
      </c>
      <c r="I9" s="69" t="str">
        <f>IF(H9="Q_A (Nm3/h)", "Nm3/h -DIN 1343", "m3/h")</f>
        <v>Nm3/h -DIN 1343</v>
      </c>
      <c r="J9" s="13" t="str">
        <f>IF(H9="Q_A (Nm3/h)", "Air flow in normal cubic meter (STD)", "Air flow in actual cubic meter at process temperature")</f>
        <v>Air flow in normal cubic meter (STD)</v>
      </c>
      <c r="K9" s="51">
        <v>1000</v>
      </c>
    </row>
    <row r="10" spans="2:11" ht="18.75" x14ac:dyDescent="0.25">
      <c r="B10" s="29"/>
      <c r="C10" s="115" t="s">
        <v>27</v>
      </c>
      <c r="D10" s="116" t="s">
        <v>87</v>
      </c>
      <c r="E10" s="117"/>
      <c r="F10" s="118">
        <v>2.9999999999999997E-4</v>
      </c>
      <c r="H10" s="86" t="str">
        <f>IF(H9="Q_A (Nm3/h)", "Q_A [m3/h]", "")</f>
        <v>Q_A [m3/h]</v>
      </c>
      <c r="I10" s="66" t="str">
        <f>IF(H9="Q_A (Nm3/h)", "m3/h", "")</f>
        <v>m3/h</v>
      </c>
      <c r="J10" s="13" t="str">
        <f>IF(H9="Q_A (Nm3/h)", "Actual air flow rate (V2)", "")</f>
        <v>Actual air flow rate (V2)</v>
      </c>
      <c r="K10" s="71">
        <f>IF(H9="Q_A (Nm3/h)", QA*K24/K38*K26/K25, "")</f>
        <v>1073.0276074774051</v>
      </c>
    </row>
    <row r="11" spans="2:11" ht="18" x14ac:dyDescent="0.25">
      <c r="B11" s="29"/>
      <c r="C11" s="115" t="s">
        <v>6</v>
      </c>
      <c r="D11" s="116" t="s">
        <v>86</v>
      </c>
      <c r="E11" s="117"/>
      <c r="F11" s="120">
        <v>8.3139999999999993E-5</v>
      </c>
      <c r="H11" s="75"/>
      <c r="I11" s="29"/>
      <c r="J11" s="29"/>
      <c r="K11" s="73"/>
    </row>
    <row r="12" spans="2:11" ht="18.75" x14ac:dyDescent="0.25">
      <c r="B12" s="29"/>
      <c r="C12" s="115" t="s">
        <v>28</v>
      </c>
      <c r="D12" s="116" t="s">
        <v>16</v>
      </c>
      <c r="E12" s="117" t="s">
        <v>118</v>
      </c>
      <c r="F12" s="121">
        <v>3</v>
      </c>
      <c r="H12" s="74" t="s">
        <v>122</v>
      </c>
      <c r="I12" s="29"/>
      <c r="J12" s="29"/>
      <c r="K12" s="73"/>
    </row>
    <row r="13" spans="2:11" ht="18" x14ac:dyDescent="0.25">
      <c r="B13" s="29"/>
      <c r="C13" s="115" t="s">
        <v>29</v>
      </c>
      <c r="D13" s="116" t="s">
        <v>7</v>
      </c>
      <c r="E13" s="117" t="s">
        <v>83</v>
      </c>
      <c r="F13" s="118">
        <v>25</v>
      </c>
      <c r="H13" s="74"/>
      <c r="I13" s="29"/>
      <c r="J13" s="29"/>
      <c r="K13" s="73"/>
    </row>
    <row r="14" spans="2:11" ht="18.75" x14ac:dyDescent="0.25">
      <c r="B14" s="29"/>
      <c r="C14" s="115" t="s">
        <v>81</v>
      </c>
      <c r="D14" s="116" t="s">
        <v>7</v>
      </c>
      <c r="E14" s="122" t="s">
        <v>15</v>
      </c>
      <c r="F14" s="123">
        <v>15</v>
      </c>
      <c r="H14" s="74" t="s">
        <v>123</v>
      </c>
      <c r="I14" s="29"/>
      <c r="J14" s="29"/>
      <c r="K14" s="73"/>
    </row>
    <row r="15" spans="2:11" ht="16.5" customHeight="1" thickBot="1" x14ac:dyDescent="0.3">
      <c r="B15" s="29"/>
      <c r="C15" s="124" t="s">
        <v>161</v>
      </c>
      <c r="D15" s="125" t="s">
        <v>158</v>
      </c>
      <c r="E15" s="126" t="s">
        <v>128</v>
      </c>
      <c r="F15" s="127">
        <v>1.0129999999999999</v>
      </c>
      <c r="H15" s="74" t="s">
        <v>124</v>
      </c>
      <c r="I15" s="29"/>
      <c r="J15" s="29"/>
      <c r="K15" s="73"/>
    </row>
    <row r="16" spans="2:11" ht="15.75" x14ac:dyDescent="0.25">
      <c r="B16" s="29"/>
      <c r="C16" s="111" t="s">
        <v>9</v>
      </c>
      <c r="D16" s="112" t="s">
        <v>2</v>
      </c>
      <c r="E16" s="113" t="s">
        <v>36</v>
      </c>
      <c r="F16" s="114" t="s">
        <v>3</v>
      </c>
      <c r="H16" s="74"/>
      <c r="I16" s="29"/>
      <c r="J16" s="29"/>
      <c r="K16" s="73"/>
    </row>
    <row r="17" spans="2:15" ht="31.5" customHeight="1" x14ac:dyDescent="0.25">
      <c r="B17" s="29"/>
      <c r="C17" s="115" t="s">
        <v>30</v>
      </c>
      <c r="D17" s="116" t="s">
        <v>48</v>
      </c>
      <c r="E17" s="122" t="s">
        <v>109</v>
      </c>
      <c r="F17" s="128">
        <v>0.5</v>
      </c>
      <c r="H17" s="157" t="s">
        <v>135</v>
      </c>
      <c r="I17" s="158"/>
      <c r="J17" s="158"/>
      <c r="K17" s="159"/>
      <c r="L17" s="70"/>
    </row>
    <row r="18" spans="2:15" ht="18.75" x14ac:dyDescent="0.25">
      <c r="B18" s="76"/>
      <c r="C18" s="129" t="s">
        <v>131</v>
      </c>
      <c r="D18" s="130" t="s">
        <v>17</v>
      </c>
      <c r="E18" s="131"/>
      <c r="F18" s="132">
        <f>IF(H9="Q_A (Nm3/h)", K10*24, QA*24)</f>
        <v>25752.662579457723</v>
      </c>
      <c r="H18" s="75"/>
      <c r="I18" s="29"/>
      <c r="J18" s="29"/>
      <c r="K18" s="73"/>
    </row>
    <row r="19" spans="2:15" ht="18.75" x14ac:dyDescent="0.25">
      <c r="B19" s="76"/>
      <c r="C19" s="129" t="s">
        <v>130</v>
      </c>
      <c r="D19" s="130" t="s">
        <v>18</v>
      </c>
      <c r="E19" s="131"/>
      <c r="F19" s="133">
        <f>QAday/(24*60*60)</f>
        <v>0.29806322429927923</v>
      </c>
      <c r="H19" s="75"/>
      <c r="I19" s="29"/>
      <c r="J19" s="29"/>
      <c r="K19" s="73"/>
    </row>
    <row r="20" spans="2:15" ht="18.75" x14ac:dyDescent="0.25">
      <c r="B20" s="76"/>
      <c r="C20" s="129" t="s">
        <v>132</v>
      </c>
      <c r="D20" s="130" t="s">
        <v>18</v>
      </c>
      <c r="E20" s="131" t="s">
        <v>129</v>
      </c>
      <c r="F20" s="133">
        <f>QAs*K38/K40*((20+273.15)/(Tproces+273.15))</f>
        <v>0.30517907267334859</v>
      </c>
      <c r="H20" s="72" t="s">
        <v>136</v>
      </c>
      <c r="I20" s="29"/>
      <c r="J20" s="29"/>
      <c r="K20" s="73"/>
    </row>
    <row r="21" spans="2:15" ht="18" x14ac:dyDescent="0.25">
      <c r="B21" s="29"/>
      <c r="C21" s="115" t="s">
        <v>11</v>
      </c>
      <c r="D21" s="116" t="s">
        <v>19</v>
      </c>
      <c r="E21" s="122" t="s">
        <v>35</v>
      </c>
      <c r="F21" s="134">
        <v>1000</v>
      </c>
      <c r="H21" s="75"/>
      <c r="I21" s="29"/>
      <c r="J21" s="29"/>
      <c r="K21" s="73"/>
    </row>
    <row r="22" spans="2:15" ht="32.25" thickBot="1" x14ac:dyDescent="0.3">
      <c r="B22" s="29"/>
      <c r="C22" s="115" t="s">
        <v>31</v>
      </c>
      <c r="D22" s="116" t="s">
        <v>12</v>
      </c>
      <c r="E22" s="122" t="s">
        <v>13</v>
      </c>
      <c r="F22" s="134">
        <v>5.2</v>
      </c>
      <c r="H22" s="75"/>
      <c r="I22" s="29"/>
      <c r="J22" s="29"/>
      <c r="K22" s="73"/>
    </row>
    <row r="23" spans="2:15" ht="32.25" thickBot="1" x14ac:dyDescent="0.3">
      <c r="B23" s="29"/>
      <c r="C23" s="135" t="s">
        <v>32</v>
      </c>
      <c r="D23" s="136" t="s">
        <v>20</v>
      </c>
      <c r="E23" s="137" t="s">
        <v>37</v>
      </c>
      <c r="F23" s="138">
        <f>+DR*Aerfield</f>
        <v>5200</v>
      </c>
      <c r="H23" s="83" t="s">
        <v>137</v>
      </c>
      <c r="I23" s="84"/>
      <c r="J23" s="84"/>
      <c r="K23" s="85"/>
    </row>
    <row r="24" spans="2:15" ht="18.75" x14ac:dyDescent="0.35">
      <c r="B24" s="29"/>
      <c r="C24" s="111" t="s">
        <v>10</v>
      </c>
      <c r="D24" s="112" t="s">
        <v>2</v>
      </c>
      <c r="E24" s="113" t="s">
        <v>36</v>
      </c>
      <c r="F24" s="114" t="s">
        <v>3</v>
      </c>
      <c r="H24" s="7" t="s">
        <v>154</v>
      </c>
      <c r="I24" s="4" t="s">
        <v>158</v>
      </c>
      <c r="J24" s="4" t="s">
        <v>125</v>
      </c>
      <c r="K24" s="31">
        <v>1.0129999999999999</v>
      </c>
    </row>
    <row r="25" spans="2:15" ht="31.5" x14ac:dyDescent="0.35">
      <c r="B25" s="29"/>
      <c r="C25" s="115" t="s">
        <v>30</v>
      </c>
      <c r="D25" s="116" t="s">
        <v>48</v>
      </c>
      <c r="E25" s="122" t="s">
        <v>110</v>
      </c>
      <c r="F25" s="128">
        <v>0.25</v>
      </c>
      <c r="H25" s="7" t="s">
        <v>155</v>
      </c>
      <c r="I25" s="4" t="s">
        <v>5</v>
      </c>
      <c r="J25" s="4" t="s">
        <v>125</v>
      </c>
      <c r="K25" s="31">
        <v>273.14999999999998</v>
      </c>
    </row>
    <row r="26" spans="2:15" ht="19.5" thickBot="1" x14ac:dyDescent="0.4">
      <c r="B26" s="29"/>
      <c r="C26" s="115" t="s">
        <v>44</v>
      </c>
      <c r="D26" s="116" t="s">
        <v>19</v>
      </c>
      <c r="E26" s="122" t="s">
        <v>47</v>
      </c>
      <c r="F26" s="134">
        <v>600</v>
      </c>
      <c r="H26" s="7" t="s">
        <v>156</v>
      </c>
      <c r="I26" s="4" t="s">
        <v>5</v>
      </c>
      <c r="J26" s="4" t="s">
        <v>159</v>
      </c>
      <c r="K26" s="71">
        <f>Tproces+273.15</f>
        <v>288.14999999999998</v>
      </c>
    </row>
    <row r="27" spans="2:15" ht="18.75" x14ac:dyDescent="0.25">
      <c r="B27" s="29"/>
      <c r="C27" s="115" t="s">
        <v>45</v>
      </c>
      <c r="D27" s="116" t="s">
        <v>12</v>
      </c>
      <c r="E27" s="122" t="s">
        <v>42</v>
      </c>
      <c r="F27" s="134">
        <v>5.2</v>
      </c>
      <c r="H27" s="90"/>
      <c r="I27" s="91"/>
      <c r="J27" s="91"/>
      <c r="K27" s="92"/>
    </row>
    <row r="28" spans="2:15" ht="32.25" thickBot="1" x14ac:dyDescent="0.4">
      <c r="B28" s="29"/>
      <c r="C28" s="135" t="s">
        <v>46</v>
      </c>
      <c r="D28" s="136" t="s">
        <v>20</v>
      </c>
      <c r="E28" s="137" t="s">
        <v>43</v>
      </c>
      <c r="F28" s="138">
        <f>F26*F27</f>
        <v>3120</v>
      </c>
      <c r="H28" s="75" t="s">
        <v>152</v>
      </c>
      <c r="I28" s="29"/>
      <c r="J28" s="29"/>
      <c r="K28" s="73"/>
    </row>
    <row r="29" spans="2:15" ht="23.25" customHeight="1" thickBot="1" x14ac:dyDescent="0.3">
      <c r="B29" s="29"/>
      <c r="C29" s="97"/>
      <c r="D29" s="97"/>
      <c r="E29" s="97"/>
      <c r="F29" s="97"/>
      <c r="H29" s="75"/>
      <c r="I29" s="29"/>
      <c r="J29" s="29"/>
      <c r="K29" s="73"/>
    </row>
    <row r="30" spans="2:15" ht="23.25" customHeight="1" x14ac:dyDescent="0.25">
      <c r="B30" s="61" t="s">
        <v>82</v>
      </c>
      <c r="C30" s="139" t="s">
        <v>14</v>
      </c>
      <c r="D30" s="112" t="s">
        <v>2</v>
      </c>
      <c r="E30" s="112" t="s">
        <v>36</v>
      </c>
      <c r="F30" s="114" t="s">
        <v>3</v>
      </c>
      <c r="H30" s="75" t="s">
        <v>153</v>
      </c>
      <c r="I30" s="29"/>
      <c r="J30" s="29"/>
      <c r="K30" s="73"/>
    </row>
    <row r="31" spans="2:15" ht="23.25" customHeight="1" x14ac:dyDescent="0.25">
      <c r="B31" s="53" t="s">
        <v>106</v>
      </c>
      <c r="C31" s="140" t="s">
        <v>21</v>
      </c>
      <c r="D31" s="117" t="s">
        <v>0</v>
      </c>
      <c r="E31" s="117" t="s">
        <v>111</v>
      </c>
      <c r="F31" s="141">
        <f>KHprocess*EXP(delta*(1/(Tproces+273.15)-1/(Tnul+273.15)))</f>
        <v>3.3722613710624127E-2</v>
      </c>
      <c r="H31" s="75"/>
      <c r="I31" s="29"/>
      <c r="J31" s="29"/>
      <c r="K31" s="73"/>
    </row>
    <row r="32" spans="2:15" ht="23.25" customHeight="1" x14ac:dyDescent="0.25">
      <c r="B32" s="53" t="s">
        <v>107</v>
      </c>
      <c r="C32" s="140" t="s">
        <v>22</v>
      </c>
      <c r="D32" s="117" t="s">
        <v>8</v>
      </c>
      <c r="E32" s="117" t="s">
        <v>112</v>
      </c>
      <c r="F32" s="142">
        <f>1/(KH*constR*(Tproces+273.15)*10^3)</f>
        <v>1.2377990018716274</v>
      </c>
      <c r="H32" s="75" t="s">
        <v>166</v>
      </c>
      <c r="I32" s="29"/>
      <c r="J32" s="29"/>
      <c r="K32" s="73"/>
      <c r="L32" s="29"/>
      <c r="M32" s="29"/>
      <c r="N32" s="29"/>
      <c r="O32" s="29"/>
    </row>
    <row r="33" spans="2:15" ht="23.25" customHeight="1" x14ac:dyDescent="0.25">
      <c r="B33" s="53" t="s">
        <v>104</v>
      </c>
      <c r="C33" s="140" t="s">
        <v>85</v>
      </c>
      <c r="D33" s="117" t="s">
        <v>33</v>
      </c>
      <c r="E33" s="117" t="s">
        <v>113</v>
      </c>
      <c r="F33" s="143">
        <f>F20/Aerfield</f>
        <v>3.0517907267334861E-4</v>
      </c>
      <c r="H33" s="75"/>
      <c r="I33" s="29"/>
      <c r="J33" s="29"/>
      <c r="K33" s="73"/>
      <c r="L33" s="29"/>
      <c r="M33" s="29"/>
      <c r="N33" s="29"/>
      <c r="O33" s="29"/>
    </row>
    <row r="34" spans="2:15" ht="18.75" x14ac:dyDescent="0.25">
      <c r="B34" s="53" t="s">
        <v>105</v>
      </c>
      <c r="C34" s="140" t="s">
        <v>23</v>
      </c>
      <c r="D34" s="117" t="s">
        <v>16</v>
      </c>
      <c r="E34" s="117" t="s">
        <v>114</v>
      </c>
      <c r="F34" s="144">
        <f>((DR/0.815)^(-0.49))*34500*(VG)^0.86</f>
        <v>13.187478637885079</v>
      </c>
      <c r="H34" s="75"/>
      <c r="I34" s="29"/>
      <c r="J34" s="29"/>
      <c r="K34" s="73"/>
    </row>
    <row r="35" spans="2:15" ht="32.25" thickBot="1" x14ac:dyDescent="0.3">
      <c r="B35" s="62" t="s">
        <v>69</v>
      </c>
      <c r="C35" s="145" t="s">
        <v>24</v>
      </c>
      <c r="D35" s="146" t="s">
        <v>16</v>
      </c>
      <c r="E35" s="137" t="s">
        <v>115</v>
      </c>
      <c r="F35" s="147">
        <f>KLAN2O20*(1.024)^(Tproces-20)</f>
        <v>11.712833936425927</v>
      </c>
      <c r="H35" s="75"/>
      <c r="I35" s="29"/>
      <c r="J35" s="29"/>
      <c r="K35" s="73"/>
    </row>
    <row r="36" spans="2:15" ht="16.5" thickBot="1" x14ac:dyDescent="0.3">
      <c r="B36" s="78"/>
      <c r="C36" s="60"/>
      <c r="D36" s="29"/>
      <c r="E36" s="29"/>
      <c r="F36" s="79"/>
      <c r="H36" s="93"/>
      <c r="I36" s="6"/>
      <c r="J36" s="6"/>
      <c r="K36" s="94"/>
    </row>
    <row r="37" spans="2:15" ht="18.75" x14ac:dyDescent="0.25">
      <c r="B37" s="61" t="s">
        <v>82</v>
      </c>
      <c r="C37" s="67" t="s">
        <v>78</v>
      </c>
      <c r="D37" s="67"/>
      <c r="E37" s="67"/>
      <c r="F37" s="68"/>
      <c r="H37" s="124" t="s">
        <v>126</v>
      </c>
      <c r="I37" s="153" t="s">
        <v>127</v>
      </c>
      <c r="J37" s="153" t="s">
        <v>163</v>
      </c>
      <c r="K37" s="154">
        <f>EXP(52.57-(6690.9/K26)-4.681*LN(K26))</f>
        <v>17.099458437619745</v>
      </c>
    </row>
    <row r="38" spans="2:15" ht="18.75" x14ac:dyDescent="0.35">
      <c r="B38" s="53">
        <v>2</v>
      </c>
      <c r="C38" s="45" t="s">
        <v>25</v>
      </c>
      <c r="D38" s="148" t="s">
        <v>34</v>
      </c>
      <c r="E38" s="48" t="s">
        <v>116</v>
      </c>
      <c r="F38" s="80">
        <f>HN2O*N2O*(1-EXP((-(KLaprocess/HN2O)*(VR/QAday))))*(QAday/VR)</f>
        <v>2.6115031249331033</v>
      </c>
      <c r="H38" s="115" t="s">
        <v>160</v>
      </c>
      <c r="I38" s="117" t="s">
        <v>158</v>
      </c>
      <c r="J38" s="117" t="s">
        <v>163</v>
      </c>
      <c r="K38" s="155">
        <f>F15-K37/1000</f>
        <v>0.99590054156238017</v>
      </c>
    </row>
    <row r="39" spans="2:15" ht="19.5" thickBot="1" x14ac:dyDescent="0.3">
      <c r="B39" s="62"/>
      <c r="C39" s="47" t="s">
        <v>38</v>
      </c>
      <c r="D39" s="149" t="s">
        <v>40</v>
      </c>
      <c r="E39" s="10" t="s">
        <v>116</v>
      </c>
      <c r="F39" s="77">
        <f>rprocess*VR/1000</f>
        <v>13.579816249652138</v>
      </c>
      <c r="H39" s="115" t="s">
        <v>126</v>
      </c>
      <c r="I39" s="117" t="s">
        <v>127</v>
      </c>
      <c r="J39" s="117" t="s">
        <v>164</v>
      </c>
      <c r="K39" s="155">
        <f>EXP(52.57-(6690.9/(20+273.15))-4.681*LN(20+273.15))</f>
        <v>23.442831512284585</v>
      </c>
    </row>
    <row r="40" spans="2:15" ht="19.5" thickBot="1" x14ac:dyDescent="0.3">
      <c r="B40" s="78"/>
      <c r="C40" s="60"/>
      <c r="D40" s="150"/>
      <c r="E40" s="29"/>
      <c r="F40" s="29"/>
      <c r="H40" s="135" t="s">
        <v>162</v>
      </c>
      <c r="I40" s="146" t="s">
        <v>158</v>
      </c>
      <c r="J40" s="146" t="s">
        <v>164</v>
      </c>
      <c r="K40" s="156">
        <f>F15-K39/1000</f>
        <v>0.98955716848771536</v>
      </c>
    </row>
    <row r="41" spans="2:15" ht="16.5" thickBot="1" x14ac:dyDescent="0.3">
      <c r="B41" s="78"/>
      <c r="C41" s="60"/>
      <c r="D41" s="150"/>
      <c r="E41" s="29"/>
      <c r="F41" s="29"/>
    </row>
    <row r="42" spans="2:15" ht="15.75" x14ac:dyDescent="0.25">
      <c r="B42" s="61" t="s">
        <v>82</v>
      </c>
      <c r="C42" s="67" t="s">
        <v>157</v>
      </c>
      <c r="D42" s="151"/>
      <c r="E42" s="67"/>
      <c r="F42" s="68"/>
    </row>
    <row r="43" spans="2:15" ht="18.75" x14ac:dyDescent="0.35">
      <c r="B43" s="53">
        <v>3</v>
      </c>
      <c r="C43" s="45" t="s">
        <v>25</v>
      </c>
      <c r="D43" s="148" t="s">
        <v>34</v>
      </c>
      <c r="E43" s="48" t="s">
        <v>116</v>
      </c>
      <c r="F43" s="80">
        <f>KLAnon*(NonN2O-(CN2O/HN2O))</f>
        <v>0.74927290295222471</v>
      </c>
    </row>
    <row r="44" spans="2:15" ht="19.5" thickBot="1" x14ac:dyDescent="0.3">
      <c r="B44" s="62"/>
      <c r="C44" s="47" t="s">
        <v>38</v>
      </c>
      <c r="D44" s="149" t="s">
        <v>39</v>
      </c>
      <c r="E44" s="10" t="s">
        <v>116</v>
      </c>
      <c r="F44" s="77">
        <f>Vrnon*rNon/1000</f>
        <v>2.3377314572109413</v>
      </c>
    </row>
    <row r="45" spans="2:15" ht="16.5" thickBot="1" x14ac:dyDescent="0.3">
      <c r="B45" s="29"/>
      <c r="C45" s="29"/>
      <c r="D45" s="29"/>
      <c r="E45" s="29"/>
      <c r="F45" s="79"/>
    </row>
    <row r="46" spans="2:15" ht="19.5" thickBot="1" x14ac:dyDescent="0.3">
      <c r="B46" s="29"/>
      <c r="C46" s="29"/>
      <c r="D46" s="12" t="s">
        <v>41</v>
      </c>
      <c r="E46" s="152" t="s">
        <v>39</v>
      </c>
      <c r="F46" s="89">
        <f>F39+F44</f>
        <v>15.917547706863079</v>
      </c>
    </row>
    <row r="48" spans="2:15" ht="15.75" thickBot="1" x14ac:dyDescent="0.3"/>
    <row r="49" spans="3:6" ht="18.75" x14ac:dyDescent="0.25">
      <c r="D49" s="160" t="s">
        <v>148</v>
      </c>
      <c r="E49" s="161"/>
      <c r="F49" s="162"/>
    </row>
    <row r="50" spans="3:6" ht="15.75" x14ac:dyDescent="0.25">
      <c r="C50" s="29"/>
      <c r="D50" s="74"/>
      <c r="E50" s="97"/>
      <c r="F50" s="98"/>
    </row>
    <row r="51" spans="3:6" ht="15.75" x14ac:dyDescent="0.25">
      <c r="D51" s="74" t="s">
        <v>144</v>
      </c>
      <c r="E51" s="97"/>
      <c r="F51" s="98"/>
    </row>
    <row r="52" spans="3:6" ht="15.75" x14ac:dyDescent="0.25">
      <c r="C52" s="29"/>
      <c r="D52" s="74"/>
      <c r="E52" s="97"/>
      <c r="F52" s="98"/>
    </row>
    <row r="53" spans="3:6" ht="18.75" x14ac:dyDescent="0.25">
      <c r="D53" s="103" t="s">
        <v>138</v>
      </c>
      <c r="E53" s="106" t="s">
        <v>168</v>
      </c>
      <c r="F53" s="123">
        <v>50.6</v>
      </c>
    </row>
    <row r="54" spans="3:6" ht="15.75" x14ac:dyDescent="0.25">
      <c r="C54" s="29"/>
      <c r="D54" s="74"/>
      <c r="E54" s="99"/>
      <c r="F54" s="98"/>
    </row>
    <row r="55" spans="3:6" ht="15.75" x14ac:dyDescent="0.25">
      <c r="D55" s="100" t="s">
        <v>121</v>
      </c>
      <c r="E55" s="101"/>
      <c r="F55" s="102"/>
    </row>
    <row r="56" spans="3:6" ht="18.75" x14ac:dyDescent="0.25">
      <c r="D56" s="103" t="s">
        <v>139</v>
      </c>
      <c r="E56" s="104" t="s">
        <v>147</v>
      </c>
      <c r="F56" s="105">
        <v>273</v>
      </c>
    </row>
    <row r="57" spans="3:6" ht="15.75" x14ac:dyDescent="0.25">
      <c r="D57" s="103" t="s">
        <v>142</v>
      </c>
      <c r="E57" s="106" t="s">
        <v>140</v>
      </c>
      <c r="F57" s="105">
        <v>14</v>
      </c>
    </row>
    <row r="58" spans="3:6" ht="15.75" x14ac:dyDescent="0.25">
      <c r="D58" s="103" t="s">
        <v>143</v>
      </c>
      <c r="E58" s="106" t="s">
        <v>140</v>
      </c>
      <c r="F58" s="105">
        <v>16</v>
      </c>
    </row>
    <row r="59" spans="3:6" ht="15.75" x14ac:dyDescent="0.25">
      <c r="C59" s="29"/>
      <c r="D59" s="74"/>
      <c r="E59" s="97"/>
      <c r="F59" s="98"/>
    </row>
    <row r="60" spans="3:6" ht="37.5" customHeight="1" x14ac:dyDescent="0.25">
      <c r="D60" s="157" t="s">
        <v>146</v>
      </c>
      <c r="E60" s="158"/>
      <c r="F60" s="159"/>
    </row>
    <row r="61" spans="3:6" ht="15.75" x14ac:dyDescent="0.25">
      <c r="C61" s="29"/>
      <c r="D61" s="74"/>
      <c r="E61" s="97"/>
      <c r="F61" s="98"/>
    </row>
    <row r="62" spans="3:6" ht="18.75" x14ac:dyDescent="0.25">
      <c r="C62" s="29"/>
      <c r="D62" s="103" t="s">
        <v>145</v>
      </c>
      <c r="E62" s="106" t="s">
        <v>149</v>
      </c>
      <c r="F62" s="107">
        <f>F53*((F57*2+F58)/(2*F57))</f>
        <v>79.51428571428572</v>
      </c>
    </row>
    <row r="63" spans="3:6" ht="19.5" thickBot="1" x14ac:dyDescent="0.3">
      <c r="C63" s="29"/>
      <c r="D63" s="108" t="s">
        <v>150</v>
      </c>
      <c r="E63" s="109" t="s">
        <v>151</v>
      </c>
      <c r="F63" s="110">
        <f>F62*F56</f>
        <v>21707.4</v>
      </c>
    </row>
  </sheetData>
  <mergeCells count="4">
    <mergeCell ref="D60:F60"/>
    <mergeCell ref="D49:F49"/>
    <mergeCell ref="H17:K17"/>
    <mergeCell ref="H7:K7"/>
  </mergeCells>
  <phoneticPr fontId="2" type="noConversion"/>
  <dataValidations disablePrompts="1" count="1">
    <dataValidation type="list" allowBlank="1" showInputMessage="1" showErrorMessage="1" sqref="H9" xr:uid="{1952A63C-3619-49DB-939C-D9FD5CAB872C}">
      <formula1>"Q_A (Nm3/h), Q_A (m3/h)"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0BCE-7CA6-44D8-AAF8-9EA6DE9B9DA2}">
  <sheetPr>
    <tabColor theme="1"/>
  </sheetPr>
  <dimension ref="A1:G43"/>
  <sheetViews>
    <sheetView zoomScaleNormal="100" workbookViewId="0">
      <selection activeCell="F9" sqref="F9"/>
    </sheetView>
  </sheetViews>
  <sheetFormatPr defaultRowHeight="15" x14ac:dyDescent="0.25"/>
  <cols>
    <col min="1" max="1" width="22" customWidth="1"/>
    <col min="2" max="2" width="14" customWidth="1"/>
    <col min="3" max="3" width="21.5703125" bestFit="1" customWidth="1"/>
    <col min="4" max="4" width="25.7109375" bestFit="1" customWidth="1"/>
    <col min="5" max="5" width="46.7109375" customWidth="1"/>
    <col min="6" max="6" width="15.85546875" customWidth="1"/>
    <col min="12" max="12" width="22.7109375" bestFit="1" customWidth="1"/>
    <col min="14" max="14" width="33.42578125" customWidth="1"/>
    <col min="15" max="15" width="6.42578125" bestFit="1" customWidth="1"/>
  </cols>
  <sheetData>
    <row r="1" spans="1:7" ht="15.75" x14ac:dyDescent="0.25">
      <c r="A1" s="29"/>
      <c r="B1" s="29"/>
      <c r="C1" s="29"/>
      <c r="D1" s="29"/>
      <c r="E1" s="29"/>
      <c r="F1" s="29"/>
      <c r="G1" s="29"/>
    </row>
    <row r="2" spans="1:7" ht="15.75" x14ac:dyDescent="0.25">
      <c r="A2" s="29"/>
      <c r="B2" s="29"/>
      <c r="C2" s="29"/>
      <c r="D2" s="81" t="s">
        <v>133</v>
      </c>
      <c r="E2" s="29"/>
      <c r="F2" s="29"/>
      <c r="G2" s="29"/>
    </row>
    <row r="3" spans="1:7" ht="15.75" x14ac:dyDescent="0.25">
      <c r="A3" s="29"/>
      <c r="B3" s="29"/>
      <c r="C3" s="29"/>
      <c r="D3" s="82" t="s">
        <v>134</v>
      </c>
      <c r="E3" s="29"/>
      <c r="F3" s="29"/>
      <c r="G3" s="29"/>
    </row>
    <row r="4" spans="1:7" ht="15.75" x14ac:dyDescent="0.25">
      <c r="A4" s="29"/>
      <c r="B4" s="29"/>
      <c r="C4" s="29"/>
      <c r="D4" s="4" t="s">
        <v>121</v>
      </c>
      <c r="E4" s="29"/>
      <c r="F4" s="29"/>
      <c r="G4" s="29"/>
    </row>
    <row r="5" spans="1:7" ht="15.75" x14ac:dyDescent="0.25">
      <c r="A5" s="29"/>
      <c r="B5" s="29"/>
      <c r="C5" s="29"/>
      <c r="D5" s="29"/>
      <c r="E5" s="29"/>
      <c r="F5" s="29"/>
      <c r="G5" s="29"/>
    </row>
    <row r="6" spans="1:7" ht="15.75" x14ac:dyDescent="0.25">
      <c r="A6" s="29"/>
      <c r="B6" s="29"/>
      <c r="C6" s="20" t="s">
        <v>49</v>
      </c>
      <c r="D6" s="29"/>
      <c r="E6" s="29"/>
      <c r="F6" s="29"/>
      <c r="G6" s="29"/>
    </row>
    <row r="7" spans="1:7" ht="16.5" thickBot="1" x14ac:dyDescent="0.3">
      <c r="A7" s="29"/>
      <c r="B7" s="29"/>
      <c r="C7" s="29"/>
      <c r="D7" s="29"/>
      <c r="E7" s="29"/>
      <c r="F7" s="29"/>
      <c r="G7" s="29"/>
    </row>
    <row r="8" spans="1:7" ht="16.5" thickBot="1" x14ac:dyDescent="0.3">
      <c r="A8" s="29"/>
      <c r="B8" s="29"/>
      <c r="C8" s="14" t="s">
        <v>1</v>
      </c>
      <c r="D8" s="15" t="s">
        <v>2</v>
      </c>
      <c r="E8" s="16" t="s">
        <v>36</v>
      </c>
      <c r="F8" s="17" t="s">
        <v>3</v>
      </c>
      <c r="G8" s="29"/>
    </row>
    <row r="9" spans="1:7" ht="18.75" x14ac:dyDescent="0.25">
      <c r="A9" s="29"/>
      <c r="B9" s="29"/>
      <c r="C9" s="21" t="s">
        <v>81</v>
      </c>
      <c r="D9" s="18" t="s">
        <v>7</v>
      </c>
      <c r="E9" s="19" t="s">
        <v>15</v>
      </c>
      <c r="F9" s="23">
        <v>15</v>
      </c>
      <c r="G9" s="29"/>
    </row>
    <row r="10" spans="1:7" ht="15.75" x14ac:dyDescent="0.25">
      <c r="A10" s="29"/>
      <c r="B10" s="29"/>
      <c r="C10" s="22" t="s">
        <v>50</v>
      </c>
      <c r="D10" s="4" t="s">
        <v>51</v>
      </c>
      <c r="E10" s="13" t="s">
        <v>62</v>
      </c>
      <c r="F10" s="24">
        <v>37.5</v>
      </c>
      <c r="G10" s="29"/>
    </row>
    <row r="11" spans="1:7" ht="18.75" x14ac:dyDescent="0.35">
      <c r="A11" s="29"/>
      <c r="B11" s="29"/>
      <c r="C11" s="22" t="s">
        <v>52</v>
      </c>
      <c r="D11" s="4" t="s">
        <v>80</v>
      </c>
      <c r="E11" s="13" t="s">
        <v>53</v>
      </c>
      <c r="F11" s="24">
        <v>1.2</v>
      </c>
      <c r="G11" s="29"/>
    </row>
    <row r="12" spans="1:7" ht="18.75" x14ac:dyDescent="0.25">
      <c r="A12" s="29"/>
      <c r="B12" s="29"/>
      <c r="C12" s="22" t="s">
        <v>102</v>
      </c>
      <c r="D12" s="4" t="s">
        <v>20</v>
      </c>
      <c r="E12" s="13" t="s">
        <v>59</v>
      </c>
      <c r="F12" s="25">
        <v>1250</v>
      </c>
      <c r="G12" s="29"/>
    </row>
    <row r="13" spans="1:7" ht="20.25" thickBot="1" x14ac:dyDescent="0.4">
      <c r="A13" s="29"/>
      <c r="B13" s="29"/>
      <c r="C13" s="26" t="s">
        <v>88</v>
      </c>
      <c r="D13" s="9" t="s">
        <v>119</v>
      </c>
      <c r="E13" s="27" t="s">
        <v>120</v>
      </c>
      <c r="F13" s="28">
        <v>0.1</v>
      </c>
      <c r="G13" s="29"/>
    </row>
    <row r="14" spans="1:7" ht="16.5" thickBot="1" x14ac:dyDescent="0.3">
      <c r="A14" s="29"/>
      <c r="B14" s="29"/>
      <c r="C14" s="14" t="s">
        <v>10</v>
      </c>
      <c r="D14" s="15" t="s">
        <v>2</v>
      </c>
      <c r="E14" s="16" t="s">
        <v>36</v>
      </c>
      <c r="F14" s="17" t="s">
        <v>3</v>
      </c>
      <c r="G14" s="29"/>
    </row>
    <row r="15" spans="1:7" ht="19.5" x14ac:dyDescent="0.35">
      <c r="A15" s="29"/>
      <c r="B15" s="29"/>
      <c r="C15" s="21" t="s">
        <v>103</v>
      </c>
      <c r="D15" s="18" t="s">
        <v>119</v>
      </c>
      <c r="E15" s="19" t="s">
        <v>120</v>
      </c>
      <c r="F15" s="43">
        <v>0.01</v>
      </c>
      <c r="G15" s="29"/>
    </row>
    <row r="16" spans="1:7" ht="19.5" x14ac:dyDescent="0.35">
      <c r="A16" s="29"/>
      <c r="B16" s="29"/>
      <c r="C16" s="41" t="s">
        <v>28</v>
      </c>
      <c r="D16" s="42" t="s">
        <v>16</v>
      </c>
      <c r="E16" s="49" t="s">
        <v>118</v>
      </c>
      <c r="F16" s="50">
        <v>3</v>
      </c>
      <c r="G16" s="29"/>
    </row>
    <row r="17" spans="1:7" ht="18" x14ac:dyDescent="0.25">
      <c r="A17" s="29"/>
      <c r="B17" s="29"/>
      <c r="C17" s="7" t="s">
        <v>44</v>
      </c>
      <c r="D17" s="5" t="s">
        <v>19</v>
      </c>
      <c r="E17" s="13" t="s">
        <v>47</v>
      </c>
      <c r="F17" s="51">
        <f>18*9</f>
        <v>162</v>
      </c>
      <c r="G17" s="29"/>
    </row>
    <row r="18" spans="1:7" ht="18.75" x14ac:dyDescent="0.35">
      <c r="A18" s="29"/>
      <c r="B18" s="29"/>
      <c r="C18" s="7" t="s">
        <v>45</v>
      </c>
      <c r="D18" s="5" t="s">
        <v>12</v>
      </c>
      <c r="E18" s="13" t="s">
        <v>42</v>
      </c>
      <c r="F18" s="51">
        <v>5.5</v>
      </c>
      <c r="G18" s="29"/>
    </row>
    <row r="19" spans="1:7" ht="20.25" thickBot="1" x14ac:dyDescent="0.4">
      <c r="A19" s="29"/>
      <c r="B19" s="29"/>
      <c r="C19" s="8" t="s">
        <v>46</v>
      </c>
      <c r="D19" s="6" t="s">
        <v>20</v>
      </c>
      <c r="E19" s="27" t="s">
        <v>43</v>
      </c>
      <c r="F19" s="52">
        <f>F17*F18</f>
        <v>891</v>
      </c>
      <c r="G19" s="29"/>
    </row>
    <row r="20" spans="1:7" ht="16.5" thickBot="1" x14ac:dyDescent="0.3">
      <c r="A20" s="29"/>
      <c r="B20" s="29"/>
      <c r="C20" s="1" t="s">
        <v>1</v>
      </c>
      <c r="D20" s="2" t="s">
        <v>2</v>
      </c>
      <c r="E20" s="11" t="s">
        <v>36</v>
      </c>
      <c r="F20" s="3" t="s">
        <v>3</v>
      </c>
      <c r="G20" s="29"/>
    </row>
    <row r="21" spans="1:7" ht="18" x14ac:dyDescent="0.25">
      <c r="A21" s="29"/>
      <c r="B21" s="29"/>
      <c r="C21" s="21" t="s">
        <v>29</v>
      </c>
      <c r="D21" s="18" t="s">
        <v>7</v>
      </c>
      <c r="E21" s="19" t="s">
        <v>83</v>
      </c>
      <c r="F21" s="30">
        <v>20</v>
      </c>
      <c r="G21" s="29"/>
    </row>
    <row r="22" spans="1:7" ht="31.5" x14ac:dyDescent="0.25">
      <c r="A22" s="29"/>
      <c r="B22" s="29"/>
      <c r="C22" s="22" t="s">
        <v>56</v>
      </c>
      <c r="D22" s="4" t="s">
        <v>84</v>
      </c>
      <c r="E22" s="13" t="s">
        <v>58</v>
      </c>
      <c r="F22" s="31">
        <v>0.9</v>
      </c>
      <c r="G22" s="29"/>
    </row>
    <row r="23" spans="1:7" ht="31.5" x14ac:dyDescent="0.25">
      <c r="A23" s="29"/>
      <c r="B23" s="29"/>
      <c r="C23" s="22" t="s">
        <v>57</v>
      </c>
      <c r="D23" s="4" t="s">
        <v>84</v>
      </c>
      <c r="E23" s="13" t="s">
        <v>63</v>
      </c>
      <c r="F23" s="31">
        <v>0.95</v>
      </c>
      <c r="G23" s="29"/>
    </row>
    <row r="24" spans="1:7" ht="31.5" x14ac:dyDescent="0.25">
      <c r="A24" s="29"/>
      <c r="B24" s="29"/>
      <c r="C24" s="22" t="s">
        <v>60</v>
      </c>
      <c r="D24" s="4" t="s">
        <v>84</v>
      </c>
      <c r="E24" s="13" t="s">
        <v>61</v>
      </c>
      <c r="F24" s="31">
        <v>1</v>
      </c>
      <c r="G24" s="29"/>
    </row>
    <row r="25" spans="1:7" ht="18.75" x14ac:dyDescent="0.25">
      <c r="A25" s="29"/>
      <c r="C25" s="22" t="s">
        <v>89</v>
      </c>
      <c r="D25" s="4" t="s">
        <v>90</v>
      </c>
      <c r="E25" s="13" t="s">
        <v>74</v>
      </c>
      <c r="F25" s="31">
        <f>1.77*10^-9</f>
        <v>1.7700000000000001E-9</v>
      </c>
      <c r="G25" s="29"/>
    </row>
    <row r="26" spans="1:7" ht="18.75" x14ac:dyDescent="0.25">
      <c r="A26" s="29"/>
      <c r="C26" s="22" t="s">
        <v>91</v>
      </c>
      <c r="D26" s="4" t="s">
        <v>90</v>
      </c>
      <c r="E26" s="13" t="s">
        <v>74</v>
      </c>
      <c r="F26" s="31">
        <f>2.12*10^-9</f>
        <v>2.1200000000000001E-9</v>
      </c>
      <c r="G26" s="29"/>
    </row>
    <row r="27" spans="1:7" ht="18.75" x14ac:dyDescent="0.25">
      <c r="A27" s="29"/>
      <c r="C27" s="22" t="s">
        <v>92</v>
      </c>
      <c r="D27" s="4" t="s">
        <v>68</v>
      </c>
      <c r="E27" s="13" t="s">
        <v>67</v>
      </c>
      <c r="F27" s="95">
        <v>1.5</v>
      </c>
      <c r="G27" s="29"/>
    </row>
    <row r="28" spans="1:7" ht="18.75" x14ac:dyDescent="0.25">
      <c r="A28" s="29"/>
      <c r="C28" s="22" t="s">
        <v>93</v>
      </c>
      <c r="D28" s="4" t="s">
        <v>94</v>
      </c>
      <c r="E28" s="13" t="s">
        <v>66</v>
      </c>
      <c r="F28" s="71">
        <f>(14.65-0.41*T_standard+0.0049*T_standard^2+0.0000778*T_standard^3)/1000</f>
        <v>9.0324000000000012E-3</v>
      </c>
      <c r="G28" s="29"/>
    </row>
    <row r="29" spans="1:7" ht="20.25" thickBot="1" x14ac:dyDescent="0.4">
      <c r="A29" s="29"/>
      <c r="C29" s="26" t="s">
        <v>95</v>
      </c>
      <c r="D29" s="9" t="s">
        <v>96</v>
      </c>
      <c r="E29" s="27" t="s">
        <v>66</v>
      </c>
      <c r="F29" s="96">
        <f>(14.65-0.41*T_process+0.0049*T_process^2+0.0000778*T_process^3)/1000</f>
        <v>9.8650749999999992E-3</v>
      </c>
      <c r="G29" s="29"/>
    </row>
    <row r="30" spans="1:7" ht="16.5" thickBot="1" x14ac:dyDescent="0.3">
      <c r="A30" s="29"/>
      <c r="C30" s="32"/>
      <c r="D30" s="29"/>
      <c r="E30" s="29"/>
      <c r="F30" s="29"/>
      <c r="G30" s="29"/>
    </row>
    <row r="31" spans="1:7" ht="15.75" x14ac:dyDescent="0.25">
      <c r="A31" s="29"/>
      <c r="B31" s="59" t="s">
        <v>82</v>
      </c>
      <c r="C31" s="166" t="s">
        <v>78</v>
      </c>
      <c r="D31" s="166"/>
      <c r="E31" s="166"/>
      <c r="F31" s="167"/>
      <c r="G31" s="29"/>
    </row>
    <row r="32" spans="1:7" ht="18.75" x14ac:dyDescent="0.35">
      <c r="A32" s="29"/>
      <c r="B32" s="53" t="s">
        <v>69</v>
      </c>
      <c r="C32" s="54" t="s">
        <v>54</v>
      </c>
      <c r="D32" s="4" t="s">
        <v>79</v>
      </c>
      <c r="E32" s="13" t="s">
        <v>55</v>
      </c>
      <c r="F32" s="33">
        <f>SAE*P</f>
        <v>45</v>
      </c>
      <c r="G32" s="29"/>
    </row>
    <row r="33" spans="1:7" ht="18.75" x14ac:dyDescent="0.35">
      <c r="A33" s="29"/>
      <c r="B33" s="53" t="s">
        <v>70</v>
      </c>
      <c r="C33" s="54" t="s">
        <v>64</v>
      </c>
      <c r="D33" s="4" t="s">
        <v>79</v>
      </c>
      <c r="E33" s="13" t="s">
        <v>65</v>
      </c>
      <c r="F33" s="33">
        <f>alpha*F*SOTR*((Beta*C_O2_sat_Tproc-C_O2_Process)/C_O2_sat20)*1.024^(T_process-20)</f>
        <v>-5936.3760569269898</v>
      </c>
      <c r="G33" s="29"/>
    </row>
    <row r="34" spans="1:7" ht="18.75" x14ac:dyDescent="0.25">
      <c r="A34" s="29"/>
      <c r="B34" s="53" t="s">
        <v>71</v>
      </c>
      <c r="C34" s="54" t="s">
        <v>76</v>
      </c>
      <c r="D34" s="4" t="s">
        <v>97</v>
      </c>
      <c r="E34" s="13" t="s">
        <v>72</v>
      </c>
      <c r="F34" s="33">
        <f>AOTR/((C_O2_sat_Tproc-C_O2_Process)*V)</f>
        <v>3.1870274066233244</v>
      </c>
      <c r="G34" s="29">
        <f>+KLa_O2_proc*24</f>
        <v>76.488657758959789</v>
      </c>
    </row>
    <row r="35" spans="1:7" ht="18.75" x14ac:dyDescent="0.25">
      <c r="A35" s="29"/>
      <c r="B35" s="53" t="s">
        <v>73</v>
      </c>
      <c r="C35" s="54" t="s">
        <v>77</v>
      </c>
      <c r="D35" s="4" t="s">
        <v>97</v>
      </c>
      <c r="E35" s="4" t="s">
        <v>72</v>
      </c>
      <c r="F35" s="33">
        <f>KLa_O2_proc*SQRT(D_N2O/D_O2)</f>
        <v>2.9120880413410504</v>
      </c>
      <c r="G35" s="29">
        <f>+KLa_N2O_Tproc*24</f>
        <v>69.890112992185209</v>
      </c>
    </row>
    <row r="36" spans="1:7" ht="18.75" x14ac:dyDescent="0.35">
      <c r="A36" s="29"/>
      <c r="B36" s="53" t="s">
        <v>75</v>
      </c>
      <c r="C36" s="54" t="s">
        <v>98</v>
      </c>
      <c r="D36" s="4" t="s">
        <v>99</v>
      </c>
      <c r="E36" s="13" t="s">
        <v>100</v>
      </c>
      <c r="F36" s="33">
        <f>KLa_N2O_Tproc*C_N2P_process*V</f>
        <v>364.01100516763131</v>
      </c>
      <c r="G36" s="29"/>
    </row>
    <row r="37" spans="1:7" ht="19.5" thickBot="1" x14ac:dyDescent="0.4">
      <c r="A37" s="29"/>
      <c r="B37" s="46"/>
      <c r="C37" s="55" t="s">
        <v>38</v>
      </c>
      <c r="D37" s="9" t="s">
        <v>39</v>
      </c>
      <c r="E37" s="27" t="s">
        <v>100</v>
      </c>
      <c r="F37" s="34">
        <f>NTR_aerated*24/1000</f>
        <v>8.7362641240231511</v>
      </c>
      <c r="G37" s="29"/>
    </row>
    <row r="38" spans="1:7" ht="15.75" x14ac:dyDescent="0.25">
      <c r="A38" s="29"/>
      <c r="B38" s="60"/>
      <c r="C38" s="29"/>
      <c r="D38" s="29"/>
      <c r="E38" s="29"/>
      <c r="F38" s="29"/>
      <c r="G38" s="29"/>
    </row>
    <row r="39" spans="1:7" ht="16.5" thickBot="1" x14ac:dyDescent="0.3">
      <c r="B39" s="44"/>
      <c r="C39" s="35"/>
      <c r="D39" s="35"/>
      <c r="E39" s="39"/>
      <c r="F39" s="29"/>
    </row>
    <row r="40" spans="1:7" ht="15.75" x14ac:dyDescent="0.25">
      <c r="B40" s="59" t="s">
        <v>82</v>
      </c>
      <c r="C40" s="166" t="s">
        <v>117</v>
      </c>
      <c r="D40" s="166"/>
      <c r="E40" s="166"/>
      <c r="F40" s="167"/>
    </row>
    <row r="41" spans="1:7" ht="19.5" thickBot="1" x14ac:dyDescent="0.4">
      <c r="B41" s="56" t="s">
        <v>108</v>
      </c>
      <c r="C41" s="57" t="s">
        <v>38</v>
      </c>
      <c r="D41" s="63" t="s">
        <v>101</v>
      </c>
      <c r="E41" s="27" t="s">
        <v>100</v>
      </c>
      <c r="F41" s="38">
        <f>(kLa_nonaerated*V_nonaerated*N2O_nonaerated)/1000</f>
        <v>2.673E-2</v>
      </c>
    </row>
    <row r="42" spans="1:7" ht="16.5" thickBot="1" x14ac:dyDescent="0.3">
      <c r="C42" s="35"/>
      <c r="D42" s="64"/>
      <c r="E42" s="29"/>
      <c r="F42" s="37"/>
    </row>
    <row r="43" spans="1:7" ht="19.5" thickBot="1" x14ac:dyDescent="0.4">
      <c r="C43" s="36" t="s">
        <v>41</v>
      </c>
      <c r="D43" s="65" t="s">
        <v>101</v>
      </c>
      <c r="E43" s="58" t="s">
        <v>100</v>
      </c>
      <c r="F43" s="40">
        <f>Emission_surface+Emission_no</f>
        <v>8.7629941240231517</v>
      </c>
    </row>
  </sheetData>
  <mergeCells count="2">
    <mergeCell ref="C31:F31"/>
    <mergeCell ref="C40:F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E192-D99E-40BD-9ABD-885C7D41135C}">
  <sheetPr>
    <tabColor rgb="FFFFC000"/>
  </sheetPr>
  <dimension ref="A1"/>
  <sheetViews>
    <sheetView zoomScale="70" zoomScaleNormal="70" workbookViewId="0">
      <selection activeCell="AF11" sqref="AF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52</vt:i4>
      </vt:variant>
    </vt:vector>
  </HeadingPairs>
  <TitlesOfParts>
    <vt:vector size="55" baseType="lpstr">
      <vt:lpstr>N2O Emission- Bottom Aeration</vt:lpstr>
      <vt:lpstr>N2O Emission - Surface Aeration</vt:lpstr>
      <vt:lpstr>Aeration Field Size</vt:lpstr>
      <vt:lpstr>Aerfield</vt:lpstr>
      <vt:lpstr>Airfield</vt:lpstr>
      <vt:lpstr>'N2O Emission - Surface Aeration'!alpha</vt:lpstr>
      <vt:lpstr>'N2O Emission - Surface Aeration'!AOTR</vt:lpstr>
      <vt:lpstr>'N2O Emission - Surface Aeration'!Beta</vt:lpstr>
      <vt:lpstr>'N2O Emission - Surface Aeration'!C_N2P_process</vt:lpstr>
      <vt:lpstr>'N2O Emission - Surface Aeration'!C_O2_Process</vt:lpstr>
      <vt:lpstr>'N2O Emission - Surface Aeration'!C_O2_sat_Tproc</vt:lpstr>
      <vt:lpstr>'N2O Emission - Surface Aeration'!C_O2_sat20</vt:lpstr>
      <vt:lpstr>CN2O</vt:lpstr>
      <vt:lpstr>constR</vt:lpstr>
      <vt:lpstr>'N2O Emission - Surface Aeration'!D_N2O</vt:lpstr>
      <vt:lpstr>'N2O Emission - Surface Aeration'!D_O2</vt:lpstr>
      <vt:lpstr>delta</vt:lpstr>
      <vt:lpstr>DR</vt:lpstr>
      <vt:lpstr>Drnon</vt:lpstr>
      <vt:lpstr>Emission_no</vt:lpstr>
      <vt:lpstr>Emission_surface</vt:lpstr>
      <vt:lpstr>'N2O Emission - Surface Aeration'!F</vt:lpstr>
      <vt:lpstr>HN2O</vt:lpstr>
      <vt:lpstr>KH</vt:lpstr>
      <vt:lpstr>KHprocess</vt:lpstr>
      <vt:lpstr>'N2O Emission - Surface Aeration'!KLa_N2O_Tproc</vt:lpstr>
      <vt:lpstr>'N2O Emission - Surface Aeration'!kLa_nonaerated</vt:lpstr>
      <vt:lpstr>'N2O Emission - Surface Aeration'!KLa_O2_proc</vt:lpstr>
      <vt:lpstr>KLAN2O20</vt:lpstr>
      <vt:lpstr>KLAnon</vt:lpstr>
      <vt:lpstr>KLaprocess</vt:lpstr>
      <vt:lpstr>N2O</vt:lpstr>
      <vt:lpstr>N2O_nonaerated</vt:lpstr>
      <vt:lpstr>nonair</vt:lpstr>
      <vt:lpstr>NonN2O</vt:lpstr>
      <vt:lpstr>'N2O Emission - Surface Aeration'!NTR_aerated</vt:lpstr>
      <vt:lpstr>'N2O Emission - Surface Aeration'!P</vt:lpstr>
      <vt:lpstr>QA</vt:lpstr>
      <vt:lpstr>QAday</vt:lpstr>
      <vt:lpstr>QAs</vt:lpstr>
      <vt:lpstr>rNon</vt:lpstr>
      <vt:lpstr>rprocess</vt:lpstr>
      <vt:lpstr>'N2O Emission - Surface Aeration'!SAE</vt:lpstr>
      <vt:lpstr>'N2O Emission - Surface Aeration'!SOTR</vt:lpstr>
      <vt:lpstr>'N2O Emission - Surface Aeration'!T_process</vt:lpstr>
      <vt:lpstr>'N2O Emission - Surface Aeration'!T_standard</vt:lpstr>
      <vt:lpstr>Tnul</vt:lpstr>
      <vt:lpstr>Tproc</vt:lpstr>
      <vt:lpstr>Tproces</vt:lpstr>
      <vt:lpstr>Tstand</vt:lpstr>
      <vt:lpstr>'N2O Emission - Surface Aeration'!V</vt:lpstr>
      <vt:lpstr>'N2O Emission - Surface Aeration'!V_nonaerated</vt:lpstr>
      <vt:lpstr>VG</vt:lpstr>
      <vt:lpstr>VR</vt:lpstr>
      <vt:lpstr>Vrnon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mha@unisense.com</dc:creator>
  <cp:lastModifiedBy>Shuting Wang</cp:lastModifiedBy>
  <dcterms:created xsi:type="dcterms:W3CDTF">2023-03-29T09:58:03Z</dcterms:created>
  <dcterms:modified xsi:type="dcterms:W3CDTF">2025-12-10T06:38:16Z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2025-12-10T06:37:50Z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7d9d903a-ceb5-42a7-a738-ed88260c4e95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